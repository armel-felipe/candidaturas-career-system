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dbde5700bfd627b/01_armel/Curriculos/01 materiais rick_carreira/PRH/banco de dados e notas/"/>
    </mc:Choice>
  </mc:AlternateContent>
  <xr:revisionPtr revIDLastSave="95" documentId="8_{78D795F0-D7E6-4AAA-BBCB-8E5546F8DA5D}" xr6:coauthVersionLast="47" xr6:coauthVersionMax="47" xr10:uidLastSave="{4FDAD5B8-5904-4D09-8D5E-0A2AF9FA6B86}"/>
  <bookViews>
    <workbookView minimized="1" xWindow="408" yWindow="-11040" windowWidth="17280" windowHeight="8880" activeTab="4" xr2:uid="{00000000-000D-0000-FFFF-FFFF00000000}"/>
  </bookViews>
  <sheets>
    <sheet name="Competências" sheetId="1" r:id="rId1"/>
    <sheet name="Planilha2" sheetId="3" r:id="rId2"/>
    <sheet name="Planilha1" sheetId="4" r:id="rId3"/>
    <sheet name="refin_2" sheetId="5" r:id="rId4"/>
    <sheet name="refin_1" sheetId="6" r:id="rId5"/>
    <sheet name="Planilha5" sheetId="7" r:id="rId6"/>
    <sheet name="refinamento" sheetId="8" r:id="rId7"/>
  </sheets>
  <definedNames>
    <definedName name="_xlnm._FilterDatabase" localSheetId="5" hidden="1">Planilha5!$A$1:$B$88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7" l="1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</calcChain>
</file>

<file path=xl/sharedStrings.xml><?xml version="1.0" encoding="utf-8"?>
<sst xmlns="http://schemas.openxmlformats.org/spreadsheetml/2006/main" count="985" uniqueCount="263">
  <si>
    <t>Competência</t>
  </si>
  <si>
    <t>Microsoft Power BI</t>
  </si>
  <si>
    <t>Inteligência de negócios (BI)</t>
  </si>
  <si>
    <t>Suporte ao cliente</t>
  </si>
  <si>
    <t>Sucesso do cliente</t>
  </si>
  <si>
    <t>Inteligência artificial</t>
  </si>
  <si>
    <t>Previsão de receitas</t>
  </si>
  <si>
    <t>Previsão de demanda</t>
  </si>
  <si>
    <t>Análises de mercado</t>
  </si>
  <si>
    <t>Mapeamento de processos de negócios</t>
  </si>
  <si>
    <t>Gestão de riscos de terceiros</t>
  </si>
  <si>
    <t>Análise financeira</t>
  </si>
  <si>
    <t>Gestão de orçamentos</t>
  </si>
  <si>
    <t>Gestão logística</t>
  </si>
  <si>
    <t>Análise de fusões e aquisições</t>
  </si>
  <si>
    <t>MRP (Planejamento das necessidades de materiais)</t>
  </si>
  <si>
    <t>Sistemas de gerenciamento de armazéns (WMS)</t>
  </si>
  <si>
    <t>Análises de P&amp;L</t>
  </si>
  <si>
    <t>VPL (Valor Presente Líquido)</t>
  </si>
  <si>
    <t>Gestão de projetos</t>
  </si>
  <si>
    <t>Planejamento de projetos</t>
  </si>
  <si>
    <t>Implementações de ERP</t>
  </si>
  <si>
    <t>Python</t>
  </si>
  <si>
    <t>Azure Databricks</t>
  </si>
  <si>
    <t>Zendesk</t>
  </si>
  <si>
    <t>Salesforce.com</t>
  </si>
  <si>
    <t>Tableau</t>
  </si>
  <si>
    <t>SQL</t>
  </si>
  <si>
    <t>VBA (Visual Basic for Applications)</t>
  </si>
  <si>
    <t>Marketplace Operations</t>
  </si>
  <si>
    <t>Planejamento operacional</t>
  </si>
  <si>
    <t>Performance Operacional</t>
  </si>
  <si>
    <t>Análise de dados aplicada</t>
  </si>
  <si>
    <t>Transformaçāo Operacional</t>
  </si>
  <si>
    <t>Customer Operations</t>
  </si>
  <si>
    <t>Automação de processos</t>
  </si>
  <si>
    <t>Gestão orientada a dados</t>
  </si>
  <si>
    <t>Eficiência operacional</t>
  </si>
  <si>
    <t>Operações Escaláveis</t>
  </si>
  <si>
    <t>Projeções</t>
  </si>
  <si>
    <t>Iniciativas estratégicas</t>
  </si>
  <si>
    <t>Extração de dados</t>
  </si>
  <si>
    <t>Controle de estoque</t>
  </si>
  <si>
    <t>Análise de lucratividade</t>
  </si>
  <si>
    <t>Dashboards</t>
  </si>
  <si>
    <t>Gestão de produtos</t>
  </si>
  <si>
    <t>Reestruturação</t>
  </si>
  <si>
    <t>SaaS</t>
  </si>
  <si>
    <t>Parcerias estratégicas</t>
  </si>
  <si>
    <t>Estratégia</t>
  </si>
  <si>
    <t>Desenvolvimento de novos negócios</t>
  </si>
  <si>
    <t>Fusões e aquisições</t>
  </si>
  <si>
    <t>Execução de estratégia</t>
  </si>
  <si>
    <t>Orçamento</t>
  </si>
  <si>
    <t>Eficiência em custo</t>
  </si>
  <si>
    <t>Desenvolvimento de negócios</t>
  </si>
  <si>
    <t>Melhoria de processos</t>
  </si>
  <si>
    <t>Gestão de lucros e perdas</t>
  </si>
  <si>
    <t>Melhoria de processos empresariais</t>
  </si>
  <si>
    <t>Cross team comunication</t>
  </si>
  <si>
    <t>Gateways de pagamento</t>
  </si>
  <si>
    <t>Controle orçamentário</t>
  </si>
  <si>
    <t>Gestão de relacionamento com o cliente (CRM)</t>
  </si>
  <si>
    <t>Gestão de relacionamentos empresariais</t>
  </si>
  <si>
    <t>3PL (Fornecedores de logística subcontratada)</t>
  </si>
  <si>
    <t>Retenção de clientes</t>
  </si>
  <si>
    <t>Gestão de fornecedores</t>
  </si>
  <si>
    <t>Satisfação do cliente</t>
  </si>
  <si>
    <t>Análise de dados</t>
  </si>
  <si>
    <t>Comunicação</t>
  </si>
  <si>
    <t>Análise de negócios</t>
  </si>
  <si>
    <t>Resolução de problemas</t>
  </si>
  <si>
    <t>Implementações de sistema</t>
  </si>
  <si>
    <t>Inglês</t>
  </si>
  <si>
    <t>Business Planning</t>
  </si>
  <si>
    <t>Supply Chain Management</t>
  </si>
  <si>
    <t>Strategic Planning</t>
  </si>
  <si>
    <t>Business Intelligence</t>
  </si>
  <si>
    <t>PDCA</t>
  </si>
  <si>
    <t>Supply Chain</t>
  </si>
  <si>
    <t>Project management</t>
  </si>
  <si>
    <t>S&amp;OP</t>
  </si>
  <si>
    <t>Liderança de equipe</t>
  </si>
  <si>
    <t>Redução de custos</t>
  </si>
  <si>
    <t>Melhoria contínua</t>
  </si>
  <si>
    <t>Seis Sigma</t>
  </si>
  <si>
    <t>Check</t>
  </si>
  <si>
    <t>ok</t>
  </si>
  <si>
    <t>Operations Leadership</t>
  </si>
  <si>
    <t>X</t>
  </si>
  <si>
    <t>P&amp;L Management</t>
  </si>
  <si>
    <t>Scalable Operations</t>
  </si>
  <si>
    <t>Operational Efficiency</t>
  </si>
  <si>
    <t>Strategy Execution</t>
  </si>
  <si>
    <t>Cost Reduction</t>
  </si>
  <si>
    <t>Data-Driven Decision Making</t>
  </si>
  <si>
    <t>Structured Problem Solving</t>
  </si>
  <si>
    <t>Advanced Analytics</t>
  </si>
  <si>
    <t>Process Automation</t>
  </si>
  <si>
    <t>Data Architecture</t>
  </si>
  <si>
    <t>Demand Planning</t>
  </si>
  <si>
    <t>Logistics &amp; Last Mile</t>
  </si>
  <si>
    <t>3PL Management</t>
  </si>
  <si>
    <t>Profitability Analysis</t>
  </si>
  <si>
    <t>M&amp;A</t>
  </si>
  <si>
    <t>Customer Experience (CX)</t>
  </si>
  <si>
    <t>Customer Success</t>
  </si>
  <si>
    <t>Customer Retention</t>
  </si>
  <si>
    <t>CRM Strategy</t>
  </si>
  <si>
    <t>Product Operations</t>
  </si>
  <si>
    <t>Tech-enabled Operations</t>
  </si>
  <si>
    <t>Team Leadership</t>
  </si>
  <si>
    <t>Leadership of Leaders</t>
  </si>
  <si>
    <t>Stakeholder Management</t>
  </si>
  <si>
    <t>Databricks</t>
  </si>
  <si>
    <t>Performance Management</t>
  </si>
  <si>
    <t>Continuous Improvement</t>
  </si>
  <si>
    <t>Change Management</t>
  </si>
  <si>
    <t>Sanofi - Operador</t>
  </si>
  <si>
    <t>Nycomed - Qualidade</t>
  </si>
  <si>
    <t>Essencis - Negócios</t>
  </si>
  <si>
    <t>Resinor - Qualidade</t>
  </si>
  <si>
    <t>Pierre - Supervisor Produção</t>
  </si>
  <si>
    <t>VitaLabor - Coord Produção</t>
  </si>
  <si>
    <t>Trifil - Proc/Sistemas</t>
  </si>
  <si>
    <t>Trifil - Expedição</t>
  </si>
  <si>
    <t>Trifil - Materiais</t>
  </si>
  <si>
    <t>Trifil - Inteligência Comercial</t>
  </si>
  <si>
    <t>Trifil - S&amp;OP</t>
  </si>
  <si>
    <t>VivaReal - Gerente</t>
  </si>
  <si>
    <t>Renault - CS</t>
  </si>
  <si>
    <t>iFood - Head Ops</t>
  </si>
  <si>
    <t>iFood - Diretor Ops</t>
  </si>
  <si>
    <t>Wehandle - Head Ops</t>
  </si>
  <si>
    <t>Revenue Growth</t>
  </si>
  <si>
    <t>Pricing Strategy</t>
  </si>
  <si>
    <t>Conversion Optimization</t>
  </si>
  <si>
    <t>Process Optimization</t>
  </si>
  <si>
    <t>Budgeting &amp; Cost Control</t>
  </si>
  <si>
    <t>Capacity Planning</t>
  </si>
  <si>
    <t>KPI / OKR Management</t>
  </si>
  <si>
    <t>CX Platforms (Zendesk)</t>
  </si>
  <si>
    <t>Critério</t>
  </si>
  <si>
    <t>P&amp;L - Receita</t>
  </si>
  <si>
    <t>New Business Development</t>
  </si>
  <si>
    <t>Commercial Strategy</t>
  </si>
  <si>
    <t>P&amp;L - Custo</t>
  </si>
  <si>
    <t>Unit Economics</t>
  </si>
  <si>
    <t>Escala</t>
  </si>
  <si>
    <t>Experiência</t>
  </si>
  <si>
    <t>Sistema</t>
  </si>
  <si>
    <t>Outros</t>
  </si>
  <si>
    <t>Financial Modeling</t>
  </si>
  <si>
    <t>Risk Management</t>
  </si>
  <si>
    <t>Quality Management</t>
  </si>
  <si>
    <t xml:space="preserve">SQL </t>
  </si>
  <si>
    <t>Sales Force Sales Cloud</t>
  </si>
  <si>
    <t>Sales Force Service Cloud</t>
  </si>
  <si>
    <t>VBA</t>
  </si>
  <si>
    <t>GMP</t>
  </si>
  <si>
    <t>Competência 1</t>
  </si>
  <si>
    <t>Competência 2</t>
  </si>
  <si>
    <t>Competência 3</t>
  </si>
  <si>
    <t>Competência 4</t>
  </si>
  <si>
    <t>Competência 5</t>
  </si>
  <si>
    <t>Process Discipline (GMP)</t>
  </si>
  <si>
    <t>Operational Execution</t>
  </si>
  <si>
    <t>Quality Assurance</t>
  </si>
  <si>
    <t>Process Validation</t>
  </si>
  <si>
    <t>M&amp;A Analysis</t>
  </si>
  <si>
    <t>Investment Analysis (NPV)</t>
  </si>
  <si>
    <t>Strategic Evaluation</t>
  </si>
  <si>
    <t>Quality Systems Leadership</t>
  </si>
  <si>
    <t>Process Standardization</t>
  </si>
  <si>
    <t>Audit &amp; Compliance</t>
  </si>
  <si>
    <t>Production Planning</t>
  </si>
  <si>
    <t>Inventory Management</t>
  </si>
  <si>
    <t>ERP Implementation</t>
  </si>
  <si>
    <t>Productivity Improvement</t>
  </si>
  <si>
    <t>End-to-End Operations</t>
  </si>
  <si>
    <t>Capacity Expansion</t>
  </si>
  <si>
    <t>Supply Planning</t>
  </si>
  <si>
    <t>Operational Turnaround</t>
  </si>
  <si>
    <t>Industrial Automation</t>
  </si>
  <si>
    <t>KPI Management</t>
  </si>
  <si>
    <t>Logistics Operations</t>
  </si>
  <si>
    <t>Warehouse Optimization</t>
  </si>
  <si>
    <t>ERP Deployment</t>
  </si>
  <si>
    <t>Supply Chain Execution</t>
  </si>
  <si>
    <t>Strategic Sourcing</t>
  </si>
  <si>
    <t>Cost Optimization</t>
  </si>
  <si>
    <t>Inventory Turnover</t>
  </si>
  <si>
    <t>Supplier Management</t>
  </si>
  <si>
    <t>Commercial Analytics</t>
  </si>
  <si>
    <t>Decision Support Systems</t>
  </si>
  <si>
    <t>S&amp;OP Leadership</t>
  </si>
  <si>
    <t>Integrated Planning</t>
  </si>
  <si>
    <t>Cost Management</t>
  </si>
  <si>
    <t>Scenario Simulation</t>
  </si>
  <si>
    <t>Sales Conversion</t>
  </si>
  <si>
    <t>Lead Management</t>
  </si>
  <si>
    <t>Digital Funnel Optimization</t>
  </si>
  <si>
    <t>Operational Restructuring</t>
  </si>
  <si>
    <t>Real-Time Operations</t>
  </si>
  <si>
    <t>Fleet Optimization</t>
  </si>
  <si>
    <t>Operational Scalability</t>
  </si>
  <si>
    <t>Simulation Modeling</t>
  </si>
  <si>
    <t>Platform Expansion</t>
  </si>
  <si>
    <t>AI-Driven Operations</t>
  </si>
  <si>
    <t>Cost Efficiency</t>
  </si>
  <si>
    <t>Tech-enabled CX</t>
  </si>
  <si>
    <t>Olhar se faz sentido</t>
  </si>
  <si>
    <t>Experience</t>
  </si>
  <si>
    <t>Competency 1</t>
  </si>
  <si>
    <t>Competency 2</t>
  </si>
  <si>
    <t>Competency 3</t>
  </si>
  <si>
    <t>Competency 4</t>
  </si>
  <si>
    <t>Competency 5</t>
  </si>
  <si>
    <t>Sanofi - Operator</t>
  </si>
  <si>
    <t>Process Optimization | Continuous Improvement</t>
  </si>
  <si>
    <t>Nycomed - Quality</t>
  </si>
  <si>
    <t>Quality Management | Risk Management</t>
  </si>
  <si>
    <t>Essencis - Business Analyst</t>
  </si>
  <si>
    <t>Financial Modeling | Profitability Analysis</t>
  </si>
  <si>
    <t>Resinor - Quality Coordinator</t>
  </si>
  <si>
    <t>Continuous Improvement | Process Optimization</t>
  </si>
  <si>
    <t>Pierre - Production Supervisor</t>
  </si>
  <si>
    <t>VitaLabor - Production Coordinator</t>
  </si>
  <si>
    <t>Trifil - Process &amp; Systems</t>
  </si>
  <si>
    <t>Trifil - Logistics</t>
  </si>
  <si>
    <t>Operational Efficiency | Process Optimization</t>
  </si>
  <si>
    <t>Trifil - Materials</t>
  </si>
  <si>
    <t>Inventory Optimization | Demand Planning</t>
  </si>
  <si>
    <t>Trifil - Commercial Intelligence</t>
  </si>
  <si>
    <t>Business Intelligence | Data-Driven Decision Making</t>
  </si>
  <si>
    <t>Demand Planning | Capacity Planning</t>
  </si>
  <si>
    <t>VivaReal - Manager</t>
  </si>
  <si>
    <t>Customer Experience (CX) | Customer Success</t>
  </si>
  <si>
    <t>Renault - Customer Success Manager</t>
  </si>
  <si>
    <t>Data-Driven Decision Making | Process Optimization</t>
  </si>
  <si>
    <t>iFood - Head of Operations</t>
  </si>
  <si>
    <t>iFood - Director of Operations</t>
  </si>
  <si>
    <t>Cost Reduction | Profitability Analysis</t>
  </si>
  <si>
    <t>Wehandle - Head of Operations</t>
  </si>
  <si>
    <t>Customer Experience (CX) | Tech-enabled Operations</t>
  </si>
  <si>
    <t>GMP Compliance</t>
  </si>
  <si>
    <t>Process Discipline</t>
  </si>
  <si>
    <t>Stability Analysis</t>
  </si>
  <si>
    <t>Metrology &amp; Calibration</t>
  </si>
  <si>
    <t>Documentation Control</t>
  </si>
  <si>
    <t>PDCA Implementation</t>
  </si>
  <si>
    <t>Picking Automation</t>
  </si>
  <si>
    <t>Distribution Planning</t>
  </si>
  <si>
    <t>Supplier Negotiation</t>
  </si>
  <si>
    <t>Sales Intelligence</t>
  </si>
  <si>
    <t>Margin Optimization</t>
  </si>
  <si>
    <t>GGF Cost Reduction</t>
  </si>
  <si>
    <t>Lead Qualification</t>
  </si>
  <si>
    <t>Funnel Optimization</t>
  </si>
  <si>
    <t>BPO Insourcing</t>
  </si>
  <si>
    <t>Automation Strategy</t>
  </si>
  <si>
    <t>lista MECE</t>
  </si>
  <si>
    <t>Na 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</si>
</sst>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2" tint="-0.899990844447157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textRotation="90"/>
    </xf>
    <xf numFmtId="0" fontId="0" fillId="0" borderId="0" xfId="0" applyAlignment="1">
      <alignment horizontal="center" textRotation="90" wrapText="1"/>
    </xf>
    <xf numFmtId="0" fontId="0" fillId="0" borderId="0" xfId="0" applyAlignment="1">
      <alignment horizontal="center" textRotation="90"/>
    </xf>
    <xf numFmtId="0" fontId="0" fillId="0" borderId="1" xfId="0" applyBorder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0" fontId="2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ompetencias" displayName="TabelaCompetencias" ref="A1:B86">
  <autoFilter ref="A1:B86" xr:uid="{00000000-0009-0000-0100-000001000000}"/>
  <tableColumns count="2">
    <tableColumn id="1" xr3:uid="{00000000-0010-0000-0000-000001000000}" name="Competência"/>
    <tableColumn id="2" xr3:uid="{1D769011-B8C4-4718-8078-FD43324C7174}" name="Check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456B4F-528B-483C-A6EF-335304265D38}" name="Tabela2" displayName="Tabela2" ref="A1:S54" totalsRowShown="0">
  <autoFilter ref="A1:S54" xr:uid="{6D456B4F-528B-483C-A6EF-335304265D38}"/>
  <tableColumns count="19">
    <tableColumn id="1" xr3:uid="{AC0ACB10-2496-4888-BB01-3B281F51001C}" name="Competência"/>
    <tableColumn id="2" xr3:uid="{B3A46BB5-BC6A-4609-8049-1FADEB20005D}" name="Critério"/>
    <tableColumn id="3" xr3:uid="{E1A0E223-A968-420B-8313-1CC3A9B302C3}" name="Sanofi - Operador"/>
    <tableColumn id="4" xr3:uid="{AF868CF9-6783-4217-B57D-7723CA0F905A}" name="Nycomed - Qualidade"/>
    <tableColumn id="5" xr3:uid="{2FEF23FA-9C23-4284-BEEF-00602B07034E}" name="Essencis - Negócios"/>
    <tableColumn id="6" xr3:uid="{9DC028F4-B006-4988-BD1B-F42649572C86}" name="Resinor - Qualidade"/>
    <tableColumn id="7" xr3:uid="{0A431AA7-7AFD-48CC-92A0-08E836AE7245}" name="Pierre - Supervisor Produção"/>
    <tableColumn id="8" xr3:uid="{16C05551-4989-498C-B0C1-85D1A1B3264E}" name="VitaLabor - Coord Produção"/>
    <tableColumn id="9" xr3:uid="{A51091D6-E4B7-4632-BC67-278121F13347}" name="Trifil - Proc/Sistemas"/>
    <tableColumn id="10" xr3:uid="{3CF78B17-7D91-4B61-9D9F-C9C3FD001DBF}" name="Trifil - Expedição"/>
    <tableColumn id="11" xr3:uid="{CFE968B8-FCDF-4A97-BAF6-19DCFBA2B816}" name="Trifil - Materiais"/>
    <tableColumn id="12" xr3:uid="{83033EC9-E5CF-4286-A78D-75E1190B54AB}" name="Trifil - Inteligência Comercial"/>
    <tableColumn id="13" xr3:uid="{9C2E6108-9762-4327-86F2-49C3C5D78440}" name="Trifil - S&amp;OP"/>
    <tableColumn id="14" xr3:uid="{E3FD0DD3-EDC6-48CB-94A9-DEEF6C9AE3CE}" name="VivaReal - Gerente"/>
    <tableColumn id="15" xr3:uid="{31808E8B-8316-4C92-BBA3-ECAE1AACDE0D}" name="Renault - CS"/>
    <tableColumn id="16" xr3:uid="{5C90F090-F976-4317-A41A-DD2DAEBF2BA8}" name="iFood - Head Ops"/>
    <tableColumn id="17" xr3:uid="{A8FCE80C-C6F6-41AB-BEEE-689F50A9EA98}" name="iFood - Diretor Ops"/>
    <tableColumn id="18" xr3:uid="{795EE384-266F-4735-A4DC-7A53A8D1B3F6}" name="Wehandle - Head Ops"/>
    <tableColumn id="19" xr3:uid="{85D8A7A2-58C9-47F9-BD68-A90E786C4F42}" name="Check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888482-AF06-4F3F-AD51-C29810884BF0}" name="Tabela3" displayName="Tabela3" ref="A2:F18" totalsRowShown="0">
  <autoFilter ref="A2:F18" xr:uid="{77888482-AF06-4F3F-AD51-C29810884BF0}"/>
  <tableColumns count="6">
    <tableColumn id="1" xr3:uid="{DA9BC2B1-6E1D-4F5D-A376-510688E90C03}" name="Experiência"/>
    <tableColumn id="2" xr3:uid="{C20C1AD1-66DD-41D9-B07F-68FBBC05BFCC}" name="Competência 1"/>
    <tableColumn id="3" xr3:uid="{562E769D-8000-4B6A-8E1C-AB4D348B4A36}" name="Competência 2"/>
    <tableColumn id="4" xr3:uid="{1C06DE99-6F66-4354-BEE5-5D8F19F62D84}" name="Competência 3"/>
    <tableColumn id="5" xr3:uid="{618658C0-923D-496B-B6A8-85E5D1985A1D}" name="Competência 4"/>
    <tableColumn id="6" xr3:uid="{470C0EF0-8E08-4D27-AB3A-6E2BE2E6F65D}" name="Competência 5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AE3AD3-057F-4B2A-8C25-52AC31DE0582}" name="Tabela5" displayName="Tabela5" ref="A1:F17" totalsRowShown="0" headerRowDxfId="8" dataDxfId="7" tableBorderDxfId="6">
  <autoFilter ref="A1:F17" xr:uid="{F3AE3AD3-057F-4B2A-8C25-52AC31DE0582}"/>
  <tableColumns count="6">
    <tableColumn id="1" xr3:uid="{EAB86E5E-5C24-41B0-933B-0081226732B3}" name="Experience" dataDxfId="5"/>
    <tableColumn id="2" xr3:uid="{209C9FE2-5A86-4BD7-876B-48BE3897814B}" name="Competency 1" dataDxfId="4"/>
    <tableColumn id="3" xr3:uid="{C442BCB6-BBB7-4CA4-8D93-215DAC8E5582}" name="Competency 2" dataDxfId="3"/>
    <tableColumn id="4" xr3:uid="{7AA75FD0-452A-4D26-BECB-5B3E81C1E9D8}" name="Competency 3" dataDxfId="2"/>
    <tableColumn id="5" xr3:uid="{C195CF84-68C1-4621-B42A-C2F57D079E5D}" name="Competency 4" dataDxfId="1"/>
    <tableColumn id="6" xr3:uid="{26D82947-6956-42F4-8B53-FFDA70E23FB6}" name="Competency 5" dataDxfId="0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DC2FDE-5BAC-4189-B70A-9B863EA9E5E8}" name="Tabela6" displayName="Tabela6" ref="A1:A64" totalsRowShown="0">
  <autoFilter ref="A1:A64" xr:uid="{35DC2FDE-5BAC-4189-B70A-9B863EA9E5E8}"/>
  <tableColumns count="1">
    <tableColumn id="1" xr3:uid="{2D0D5D9C-5ABC-42E9-B39A-59563889C468}" name="lista MECE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"/>
  <sheetViews>
    <sheetView workbookViewId="0">
      <pane ySplit="1" topLeftCell="A56" activePane="bottomLeft" state="frozen"/>
      <selection pane="bottomLeft" activeCell="A84" sqref="A84"/>
    </sheetView>
  </sheetViews>
  <sheetFormatPr defaultRowHeight="14.4" x14ac:dyDescent="0.3"/>
  <cols>
    <col min="1" max="1" width="52" customWidth="1"/>
  </cols>
  <sheetData>
    <row r="1" spans="1:2" ht="22.05" customHeight="1" x14ac:dyDescent="0.3">
      <c r="A1" s="1" t="s">
        <v>0</v>
      </c>
      <c r="B1" t="s">
        <v>86</v>
      </c>
    </row>
    <row r="2" spans="1:2" x14ac:dyDescent="0.3">
      <c r="A2" s="2" t="s">
        <v>1</v>
      </c>
      <c r="B2" t="s">
        <v>87</v>
      </c>
    </row>
    <row r="3" spans="1:2" x14ac:dyDescent="0.3">
      <c r="A3" s="3" t="s">
        <v>2</v>
      </c>
      <c r="B3" t="s">
        <v>87</v>
      </c>
    </row>
    <row r="4" spans="1:2" x14ac:dyDescent="0.3">
      <c r="A4" s="2" t="s">
        <v>3</v>
      </c>
      <c r="B4" t="s">
        <v>87</v>
      </c>
    </row>
    <row r="5" spans="1:2" x14ac:dyDescent="0.3">
      <c r="A5" s="3" t="s">
        <v>4</v>
      </c>
    </row>
    <row r="6" spans="1:2" x14ac:dyDescent="0.3">
      <c r="A6" s="2" t="s">
        <v>5</v>
      </c>
    </row>
    <row r="7" spans="1:2" x14ac:dyDescent="0.3">
      <c r="A7" s="3" t="s">
        <v>6</v>
      </c>
    </row>
    <row r="8" spans="1:2" x14ac:dyDescent="0.3">
      <c r="A8" s="2" t="s">
        <v>7</v>
      </c>
    </row>
    <row r="9" spans="1:2" x14ac:dyDescent="0.3">
      <c r="A9" s="3" t="s">
        <v>8</v>
      </c>
    </row>
    <row r="10" spans="1:2" x14ac:dyDescent="0.3">
      <c r="A10" s="2" t="s">
        <v>9</v>
      </c>
    </row>
    <row r="11" spans="1:2" x14ac:dyDescent="0.3">
      <c r="A11" s="3" t="s">
        <v>10</v>
      </c>
    </row>
    <row r="12" spans="1:2" x14ac:dyDescent="0.3">
      <c r="A12" s="2" t="s">
        <v>11</v>
      </c>
    </row>
    <row r="13" spans="1:2" x14ac:dyDescent="0.3">
      <c r="A13" s="3" t="s">
        <v>12</v>
      </c>
    </row>
    <row r="14" spans="1:2" x14ac:dyDescent="0.3">
      <c r="A14" s="2" t="s">
        <v>13</v>
      </c>
    </row>
    <row r="15" spans="1:2" x14ac:dyDescent="0.3">
      <c r="A15" s="3" t="s">
        <v>14</v>
      </c>
    </row>
    <row r="16" spans="1:2" x14ac:dyDescent="0.3">
      <c r="A16" s="2" t="s">
        <v>15</v>
      </c>
    </row>
    <row r="17" spans="1:1" x14ac:dyDescent="0.3">
      <c r="A17" s="3" t="s">
        <v>16</v>
      </c>
    </row>
    <row r="18" spans="1:1" x14ac:dyDescent="0.3">
      <c r="A18" s="2" t="s">
        <v>17</v>
      </c>
    </row>
    <row r="19" spans="1:1" x14ac:dyDescent="0.3">
      <c r="A19" s="3" t="s">
        <v>18</v>
      </c>
    </row>
    <row r="20" spans="1:1" x14ac:dyDescent="0.3">
      <c r="A20" s="2" t="s">
        <v>19</v>
      </c>
    </row>
    <row r="21" spans="1:1" x14ac:dyDescent="0.3">
      <c r="A21" s="3" t="s">
        <v>20</v>
      </c>
    </row>
    <row r="22" spans="1:1" x14ac:dyDescent="0.3">
      <c r="A22" s="2" t="s">
        <v>21</v>
      </c>
    </row>
    <row r="23" spans="1:1" x14ac:dyDescent="0.3">
      <c r="A23" s="3" t="s">
        <v>22</v>
      </c>
    </row>
    <row r="24" spans="1:1" x14ac:dyDescent="0.3">
      <c r="A24" s="2" t="s">
        <v>23</v>
      </c>
    </row>
    <row r="25" spans="1:1" x14ac:dyDescent="0.3">
      <c r="A25" s="3" t="s">
        <v>24</v>
      </c>
    </row>
    <row r="26" spans="1:1" x14ac:dyDescent="0.3">
      <c r="A26" s="2" t="s">
        <v>25</v>
      </c>
    </row>
    <row r="27" spans="1:1" x14ac:dyDescent="0.3">
      <c r="A27" s="3" t="s">
        <v>26</v>
      </c>
    </row>
    <row r="28" spans="1:1" x14ac:dyDescent="0.3">
      <c r="A28" s="2" t="s">
        <v>27</v>
      </c>
    </row>
    <row r="29" spans="1:1" x14ac:dyDescent="0.3">
      <c r="A29" s="3" t="s">
        <v>28</v>
      </c>
    </row>
    <row r="30" spans="1:1" x14ac:dyDescent="0.3">
      <c r="A30" s="2" t="s">
        <v>29</v>
      </c>
    </row>
    <row r="31" spans="1:1" x14ac:dyDescent="0.3">
      <c r="A31" s="3" t="s">
        <v>30</v>
      </c>
    </row>
    <row r="32" spans="1:1" x14ac:dyDescent="0.3">
      <c r="A32" s="2" t="s">
        <v>31</v>
      </c>
    </row>
    <row r="33" spans="1:1" x14ac:dyDescent="0.3">
      <c r="A33" s="3" t="s">
        <v>32</v>
      </c>
    </row>
    <row r="34" spans="1:1" x14ac:dyDescent="0.3">
      <c r="A34" s="2" t="s">
        <v>33</v>
      </c>
    </row>
    <row r="35" spans="1:1" x14ac:dyDescent="0.3">
      <c r="A35" s="3" t="s">
        <v>34</v>
      </c>
    </row>
    <row r="36" spans="1:1" x14ac:dyDescent="0.3">
      <c r="A36" s="2" t="s">
        <v>35</v>
      </c>
    </row>
    <row r="37" spans="1:1" x14ac:dyDescent="0.3">
      <c r="A37" s="3" t="s">
        <v>36</v>
      </c>
    </row>
    <row r="38" spans="1:1" x14ac:dyDescent="0.3">
      <c r="A38" s="2" t="s">
        <v>37</v>
      </c>
    </row>
    <row r="39" spans="1:1" x14ac:dyDescent="0.3">
      <c r="A39" s="3" t="s">
        <v>38</v>
      </c>
    </row>
    <row r="40" spans="1:1" x14ac:dyDescent="0.3">
      <c r="A40" s="2" t="s">
        <v>39</v>
      </c>
    </row>
    <row r="41" spans="1:1" x14ac:dyDescent="0.3">
      <c r="A41" s="3" t="s">
        <v>40</v>
      </c>
    </row>
    <row r="42" spans="1:1" x14ac:dyDescent="0.3">
      <c r="A42" s="2" t="s">
        <v>41</v>
      </c>
    </row>
    <row r="43" spans="1:1" x14ac:dyDescent="0.3">
      <c r="A43" s="3" t="s">
        <v>42</v>
      </c>
    </row>
    <row r="44" spans="1:1" x14ac:dyDescent="0.3">
      <c r="A44" s="2" t="s">
        <v>43</v>
      </c>
    </row>
    <row r="45" spans="1:1" x14ac:dyDescent="0.3">
      <c r="A45" s="3" t="s">
        <v>44</v>
      </c>
    </row>
    <row r="46" spans="1:1" x14ac:dyDescent="0.3">
      <c r="A46" s="2" t="s">
        <v>45</v>
      </c>
    </row>
    <row r="47" spans="1:1" x14ac:dyDescent="0.3">
      <c r="A47" s="3" t="s">
        <v>46</v>
      </c>
    </row>
    <row r="48" spans="1:1" x14ac:dyDescent="0.3">
      <c r="A48" s="2" t="s">
        <v>47</v>
      </c>
    </row>
    <row r="49" spans="1:1" x14ac:dyDescent="0.3">
      <c r="A49" s="3" t="s">
        <v>48</v>
      </c>
    </row>
    <row r="50" spans="1:1" x14ac:dyDescent="0.3">
      <c r="A50" s="2" t="s">
        <v>49</v>
      </c>
    </row>
    <row r="51" spans="1:1" x14ac:dyDescent="0.3">
      <c r="A51" s="3" t="s">
        <v>50</v>
      </c>
    </row>
    <row r="52" spans="1:1" x14ac:dyDescent="0.3">
      <c r="A52" s="2" t="s">
        <v>51</v>
      </c>
    </row>
    <row r="53" spans="1:1" x14ac:dyDescent="0.3">
      <c r="A53" s="3" t="s">
        <v>52</v>
      </c>
    </row>
    <row r="54" spans="1:1" x14ac:dyDescent="0.3">
      <c r="A54" s="2" t="s">
        <v>53</v>
      </c>
    </row>
    <row r="55" spans="1:1" x14ac:dyDescent="0.3">
      <c r="A55" s="3" t="s">
        <v>54</v>
      </c>
    </row>
    <row r="56" spans="1:1" x14ac:dyDescent="0.3">
      <c r="A56" s="2" t="s">
        <v>55</v>
      </c>
    </row>
    <row r="57" spans="1:1" x14ac:dyDescent="0.3">
      <c r="A57" s="3" t="s">
        <v>56</v>
      </c>
    </row>
    <row r="58" spans="1:1" x14ac:dyDescent="0.3">
      <c r="A58" s="2" t="s">
        <v>57</v>
      </c>
    </row>
    <row r="59" spans="1:1" x14ac:dyDescent="0.3">
      <c r="A59" s="3" t="s">
        <v>58</v>
      </c>
    </row>
    <row r="60" spans="1:1" x14ac:dyDescent="0.3">
      <c r="A60" s="2" t="s">
        <v>59</v>
      </c>
    </row>
    <row r="61" spans="1:1" x14ac:dyDescent="0.3">
      <c r="A61" s="3" t="s">
        <v>60</v>
      </c>
    </row>
    <row r="62" spans="1:1" x14ac:dyDescent="0.3">
      <c r="A62" s="2" t="s">
        <v>61</v>
      </c>
    </row>
    <row r="63" spans="1:1" x14ac:dyDescent="0.3">
      <c r="A63" s="3" t="s">
        <v>62</v>
      </c>
    </row>
    <row r="64" spans="1:1" x14ac:dyDescent="0.3">
      <c r="A64" s="2" t="s">
        <v>63</v>
      </c>
    </row>
    <row r="65" spans="1:1" x14ac:dyDescent="0.3">
      <c r="A65" s="3" t="s">
        <v>64</v>
      </c>
    </row>
    <row r="66" spans="1:1" x14ac:dyDescent="0.3">
      <c r="A66" s="2" t="s">
        <v>65</v>
      </c>
    </row>
    <row r="67" spans="1:1" x14ac:dyDescent="0.3">
      <c r="A67" s="3" t="s">
        <v>66</v>
      </c>
    </row>
    <row r="68" spans="1:1" x14ac:dyDescent="0.3">
      <c r="A68" s="2" t="s">
        <v>67</v>
      </c>
    </row>
    <row r="69" spans="1:1" x14ac:dyDescent="0.3">
      <c r="A69" s="3" t="s">
        <v>68</v>
      </c>
    </row>
    <row r="70" spans="1:1" x14ac:dyDescent="0.3">
      <c r="A70" s="2" t="s">
        <v>69</v>
      </c>
    </row>
    <row r="71" spans="1:1" x14ac:dyDescent="0.3">
      <c r="A71" s="3" t="s">
        <v>70</v>
      </c>
    </row>
    <row r="72" spans="1:1" x14ac:dyDescent="0.3">
      <c r="A72" s="2" t="s">
        <v>71</v>
      </c>
    </row>
    <row r="73" spans="1:1" x14ac:dyDescent="0.3">
      <c r="A73" s="3" t="s">
        <v>72</v>
      </c>
    </row>
    <row r="74" spans="1:1" x14ac:dyDescent="0.3">
      <c r="A74" s="2" t="s">
        <v>73</v>
      </c>
    </row>
    <row r="75" spans="1:1" x14ac:dyDescent="0.3">
      <c r="A75" s="3" t="s">
        <v>74</v>
      </c>
    </row>
    <row r="76" spans="1:1" x14ac:dyDescent="0.3">
      <c r="A76" s="2" t="s">
        <v>75</v>
      </c>
    </row>
    <row r="77" spans="1:1" x14ac:dyDescent="0.3">
      <c r="A77" s="3" t="s">
        <v>76</v>
      </c>
    </row>
    <row r="78" spans="1:1" x14ac:dyDescent="0.3">
      <c r="A78" s="2" t="s">
        <v>77</v>
      </c>
    </row>
    <row r="79" spans="1:1" x14ac:dyDescent="0.3">
      <c r="A79" s="3" t="s">
        <v>78</v>
      </c>
    </row>
    <row r="80" spans="1:1" x14ac:dyDescent="0.3">
      <c r="A80" s="2" t="s">
        <v>79</v>
      </c>
    </row>
    <row r="81" spans="1:1" x14ac:dyDescent="0.3">
      <c r="A81" s="3" t="s">
        <v>80</v>
      </c>
    </row>
    <row r="82" spans="1:1" x14ac:dyDescent="0.3">
      <c r="A82" s="2" t="s">
        <v>81</v>
      </c>
    </row>
    <row r="83" spans="1:1" x14ac:dyDescent="0.3">
      <c r="A83" s="3" t="s">
        <v>82</v>
      </c>
    </row>
    <row r="84" spans="1:1" x14ac:dyDescent="0.3">
      <c r="A84" s="2" t="s">
        <v>83</v>
      </c>
    </row>
    <row r="85" spans="1:1" x14ac:dyDescent="0.3">
      <c r="A85" s="3" t="s">
        <v>84</v>
      </c>
    </row>
    <row r="86" spans="1:1" x14ac:dyDescent="0.3">
      <c r="A86" s="2" t="s">
        <v>85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830C-67DB-4420-8827-3F9F9E31E177}">
  <dimension ref="A1:S54"/>
  <sheetViews>
    <sheetView workbookViewId="0">
      <pane ySplit="1" topLeftCell="A2" activePane="bottomLeft" state="frozen"/>
      <selection pane="bottomLeft" activeCell="U7" sqref="U7"/>
    </sheetView>
  </sheetViews>
  <sheetFormatPr defaultRowHeight="14.4" x14ac:dyDescent="0.3"/>
  <cols>
    <col min="1" max="1" width="17.6640625" customWidth="1"/>
    <col min="2" max="2" width="9" customWidth="1"/>
    <col min="3" max="18" width="3.5546875" bestFit="1" customWidth="1"/>
    <col min="19" max="19" width="4" customWidth="1"/>
  </cols>
  <sheetData>
    <row r="1" spans="1:19" ht="136.19999999999999" x14ac:dyDescent="0.3">
      <c r="A1" t="s">
        <v>0</v>
      </c>
      <c r="B1" s="6" t="s">
        <v>142</v>
      </c>
      <c r="C1" s="4" t="s">
        <v>118</v>
      </c>
      <c r="D1" s="4" t="s">
        <v>119</v>
      </c>
      <c r="E1" s="4" t="s">
        <v>120</v>
      </c>
      <c r="F1" s="4" t="s">
        <v>121</v>
      </c>
      <c r="G1" s="4" t="s">
        <v>122</v>
      </c>
      <c r="H1" s="4" t="s">
        <v>123</v>
      </c>
      <c r="I1" s="4" t="s">
        <v>124</v>
      </c>
      <c r="J1" s="4" t="s">
        <v>125</v>
      </c>
      <c r="K1" s="4" t="s">
        <v>126</v>
      </c>
      <c r="L1" s="4" t="s">
        <v>127</v>
      </c>
      <c r="M1" s="4" t="s">
        <v>128</v>
      </c>
      <c r="N1" s="4" t="s">
        <v>129</v>
      </c>
      <c r="O1" s="4" t="s">
        <v>130</v>
      </c>
      <c r="P1" s="4" t="s">
        <v>131</v>
      </c>
      <c r="Q1" s="4" t="s">
        <v>132</v>
      </c>
      <c r="R1" s="4" t="s">
        <v>133</v>
      </c>
      <c r="S1" s="5" t="s">
        <v>86</v>
      </c>
    </row>
    <row r="2" spans="1:19" x14ac:dyDescent="0.3">
      <c r="A2" t="s">
        <v>134</v>
      </c>
      <c r="B2" t="s">
        <v>143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S2" t="s">
        <v>87</v>
      </c>
    </row>
    <row r="3" spans="1:19" x14ac:dyDescent="0.3">
      <c r="A3" t="s">
        <v>135</v>
      </c>
      <c r="B3" t="s">
        <v>143</v>
      </c>
      <c r="L3" t="s">
        <v>89</v>
      </c>
      <c r="M3" t="s">
        <v>89</v>
      </c>
      <c r="N3" t="s">
        <v>89</v>
      </c>
      <c r="P3" t="s">
        <v>89</v>
      </c>
      <c r="Q3" t="s">
        <v>89</v>
      </c>
      <c r="S3" t="s">
        <v>87</v>
      </c>
    </row>
    <row r="4" spans="1:19" x14ac:dyDescent="0.3">
      <c r="A4" t="s">
        <v>136</v>
      </c>
      <c r="B4" t="s">
        <v>143</v>
      </c>
      <c r="N4" t="s">
        <v>89</v>
      </c>
      <c r="O4" t="s">
        <v>89</v>
      </c>
      <c r="S4" t="s">
        <v>87</v>
      </c>
    </row>
    <row r="5" spans="1:19" x14ac:dyDescent="0.3">
      <c r="A5" t="s">
        <v>107</v>
      </c>
      <c r="B5" t="s">
        <v>143</v>
      </c>
      <c r="N5" t="s">
        <v>89</v>
      </c>
      <c r="P5" t="s">
        <v>89</v>
      </c>
      <c r="Q5" t="s">
        <v>89</v>
      </c>
      <c r="R5" t="s">
        <v>89</v>
      </c>
      <c r="S5" t="s">
        <v>87</v>
      </c>
    </row>
    <row r="6" spans="1:19" x14ac:dyDescent="0.3">
      <c r="A6" t="s">
        <v>29</v>
      </c>
      <c r="B6" t="s">
        <v>143</v>
      </c>
      <c r="N6" t="s">
        <v>89</v>
      </c>
      <c r="P6" t="s">
        <v>89</v>
      </c>
      <c r="Q6" t="s">
        <v>89</v>
      </c>
      <c r="R6" t="s">
        <v>89</v>
      </c>
      <c r="S6" t="s">
        <v>87</v>
      </c>
    </row>
    <row r="7" spans="1:19" x14ac:dyDescent="0.3">
      <c r="A7" t="s">
        <v>109</v>
      </c>
      <c r="B7" t="s">
        <v>143</v>
      </c>
      <c r="N7" t="s">
        <v>89</v>
      </c>
      <c r="O7" t="s">
        <v>89</v>
      </c>
      <c r="P7" t="s">
        <v>89</v>
      </c>
      <c r="Q7" t="s">
        <v>89</v>
      </c>
      <c r="R7" t="s">
        <v>89</v>
      </c>
      <c r="S7" t="s">
        <v>87</v>
      </c>
    </row>
    <row r="8" spans="1:19" x14ac:dyDescent="0.3">
      <c r="A8" t="s">
        <v>144</v>
      </c>
      <c r="B8" t="s">
        <v>143</v>
      </c>
      <c r="E8" s="11" t="s">
        <v>89</v>
      </c>
      <c r="O8" t="s">
        <v>89</v>
      </c>
      <c r="Q8" t="s">
        <v>89</v>
      </c>
      <c r="R8" t="s">
        <v>89</v>
      </c>
      <c r="S8" t="s">
        <v>87</v>
      </c>
    </row>
    <row r="9" spans="1:19" x14ac:dyDescent="0.3">
      <c r="A9" t="s">
        <v>145</v>
      </c>
      <c r="B9" t="s">
        <v>143</v>
      </c>
      <c r="L9" t="s">
        <v>89</v>
      </c>
      <c r="M9" t="s">
        <v>89</v>
      </c>
      <c r="N9" t="s">
        <v>89</v>
      </c>
      <c r="Q9" t="s">
        <v>89</v>
      </c>
      <c r="R9" t="s">
        <v>89</v>
      </c>
      <c r="S9" t="s">
        <v>87</v>
      </c>
    </row>
    <row r="10" spans="1:19" x14ac:dyDescent="0.3">
      <c r="A10" t="s">
        <v>94</v>
      </c>
      <c r="B10" t="s">
        <v>146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  <c r="R10" t="s">
        <v>89</v>
      </c>
      <c r="S10" t="s">
        <v>87</v>
      </c>
    </row>
    <row r="11" spans="1:19" x14ac:dyDescent="0.3">
      <c r="A11" t="s">
        <v>92</v>
      </c>
      <c r="B11" t="s">
        <v>146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89</v>
      </c>
      <c r="S11" t="s">
        <v>87</v>
      </c>
    </row>
    <row r="12" spans="1:19" x14ac:dyDescent="0.3">
      <c r="A12" t="s">
        <v>137</v>
      </c>
      <c r="B12" t="s">
        <v>146</v>
      </c>
      <c r="I12" t="s">
        <v>89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  <c r="R12" t="s">
        <v>89</v>
      </c>
      <c r="S12" t="s">
        <v>87</v>
      </c>
    </row>
    <row r="13" spans="1:19" x14ac:dyDescent="0.3">
      <c r="A13" t="s">
        <v>138</v>
      </c>
      <c r="B13" t="s">
        <v>146</v>
      </c>
      <c r="G13" t="s">
        <v>89</v>
      </c>
      <c r="H13" t="s">
        <v>89</v>
      </c>
      <c r="I13" t="s">
        <v>89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R13" t="s">
        <v>89</v>
      </c>
      <c r="S13" t="s">
        <v>87</v>
      </c>
    </row>
    <row r="14" spans="1:19" x14ac:dyDescent="0.3">
      <c r="A14" t="s">
        <v>103</v>
      </c>
      <c r="B14" t="s">
        <v>146</v>
      </c>
      <c r="E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87</v>
      </c>
    </row>
    <row r="15" spans="1:19" x14ac:dyDescent="0.3">
      <c r="A15" t="s">
        <v>147</v>
      </c>
      <c r="B15" t="s">
        <v>146</v>
      </c>
      <c r="L15" t="s">
        <v>89</v>
      </c>
      <c r="M15" t="s">
        <v>89</v>
      </c>
      <c r="N15" t="s">
        <v>89</v>
      </c>
      <c r="P15" t="s">
        <v>89</v>
      </c>
      <c r="Q15" t="s">
        <v>89</v>
      </c>
      <c r="R15" t="s">
        <v>89</v>
      </c>
      <c r="S15" t="s">
        <v>87</v>
      </c>
    </row>
    <row r="16" spans="1:19" x14ac:dyDescent="0.3">
      <c r="A16" t="s">
        <v>91</v>
      </c>
      <c r="B16" t="s">
        <v>148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87</v>
      </c>
    </row>
    <row r="17" spans="1:19" x14ac:dyDescent="0.3">
      <c r="A17" t="s">
        <v>88</v>
      </c>
      <c r="B17" t="s">
        <v>148</v>
      </c>
      <c r="D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87</v>
      </c>
    </row>
    <row r="18" spans="1:19" x14ac:dyDescent="0.3">
      <c r="A18" t="s">
        <v>75</v>
      </c>
      <c r="B18" t="s">
        <v>148</v>
      </c>
      <c r="G18" t="s">
        <v>89</v>
      </c>
      <c r="H18" t="s">
        <v>89</v>
      </c>
      <c r="J18" t="s">
        <v>89</v>
      </c>
      <c r="K18" t="s">
        <v>89</v>
      </c>
      <c r="M18" t="s">
        <v>89</v>
      </c>
      <c r="S18" t="s">
        <v>87</v>
      </c>
    </row>
    <row r="19" spans="1:19" x14ac:dyDescent="0.3">
      <c r="A19" t="s">
        <v>101</v>
      </c>
      <c r="B19" t="s">
        <v>148</v>
      </c>
      <c r="P19" t="s">
        <v>89</v>
      </c>
      <c r="Q19" t="s">
        <v>89</v>
      </c>
      <c r="S19" t="s">
        <v>87</v>
      </c>
    </row>
    <row r="20" spans="1:19" x14ac:dyDescent="0.3">
      <c r="A20" t="s">
        <v>81</v>
      </c>
      <c r="B20" t="s">
        <v>148</v>
      </c>
      <c r="M20" t="s">
        <v>89</v>
      </c>
      <c r="P20" t="s">
        <v>89</v>
      </c>
      <c r="Q20" t="s">
        <v>89</v>
      </c>
      <c r="R20" t="s">
        <v>89</v>
      </c>
      <c r="S20" t="s">
        <v>87</v>
      </c>
    </row>
    <row r="21" spans="1:19" x14ac:dyDescent="0.3">
      <c r="A21" t="s">
        <v>100</v>
      </c>
      <c r="B21" t="s">
        <v>148</v>
      </c>
      <c r="H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  <c r="S21" t="s">
        <v>87</v>
      </c>
    </row>
    <row r="22" spans="1:19" x14ac:dyDescent="0.3">
      <c r="A22" t="s">
        <v>139</v>
      </c>
      <c r="B22" t="s">
        <v>148</v>
      </c>
      <c r="G22" t="s">
        <v>89</v>
      </c>
      <c r="H22" t="s">
        <v>89</v>
      </c>
      <c r="J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  <c r="S22" t="s">
        <v>87</v>
      </c>
    </row>
    <row r="23" spans="1:19" x14ac:dyDescent="0.3">
      <c r="A23" t="s">
        <v>102</v>
      </c>
      <c r="B23" t="s">
        <v>148</v>
      </c>
      <c r="P23" t="s">
        <v>89</v>
      </c>
      <c r="Q23" t="s">
        <v>89</v>
      </c>
      <c r="S23" t="s">
        <v>87</v>
      </c>
    </row>
    <row r="24" spans="1:19" x14ac:dyDescent="0.3">
      <c r="A24" t="s">
        <v>105</v>
      </c>
      <c r="B24" t="s">
        <v>149</v>
      </c>
      <c r="N24" t="s">
        <v>89</v>
      </c>
      <c r="O24" t="s">
        <v>89</v>
      </c>
      <c r="R24" t="s">
        <v>89</v>
      </c>
      <c r="S24" t="s">
        <v>87</v>
      </c>
    </row>
    <row r="25" spans="1:19" x14ac:dyDescent="0.3">
      <c r="A25" t="s">
        <v>106</v>
      </c>
      <c r="B25" t="s">
        <v>149</v>
      </c>
      <c r="N25" t="s">
        <v>89</v>
      </c>
      <c r="O25" t="s">
        <v>89</v>
      </c>
      <c r="R25" t="s">
        <v>89</v>
      </c>
      <c r="S25" t="s">
        <v>87</v>
      </c>
    </row>
    <row r="26" spans="1:19" x14ac:dyDescent="0.3">
      <c r="A26" t="s">
        <v>108</v>
      </c>
      <c r="B26" t="s">
        <v>149</v>
      </c>
      <c r="N26" t="s">
        <v>89</v>
      </c>
      <c r="O26" t="s">
        <v>89</v>
      </c>
      <c r="R26" t="s">
        <v>89</v>
      </c>
      <c r="S26" t="s">
        <v>87</v>
      </c>
    </row>
    <row r="27" spans="1:19" x14ac:dyDescent="0.3">
      <c r="A27" t="s">
        <v>115</v>
      </c>
      <c r="B27" t="s">
        <v>149</v>
      </c>
      <c r="L27" t="s">
        <v>89</v>
      </c>
      <c r="N27" t="s">
        <v>89</v>
      </c>
      <c r="O27" t="s">
        <v>89</v>
      </c>
      <c r="P27" t="s">
        <v>89</v>
      </c>
      <c r="Q27" t="s">
        <v>89</v>
      </c>
      <c r="R27" t="s">
        <v>89</v>
      </c>
      <c r="S27" t="s">
        <v>87</v>
      </c>
    </row>
    <row r="28" spans="1:19" x14ac:dyDescent="0.3">
      <c r="A28" t="s">
        <v>140</v>
      </c>
      <c r="B28" t="s">
        <v>149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  <c r="O28" t="s">
        <v>89</v>
      </c>
      <c r="P28" t="s">
        <v>89</v>
      </c>
      <c r="Q28" t="s">
        <v>89</v>
      </c>
      <c r="S28" t="s">
        <v>87</v>
      </c>
    </row>
    <row r="29" spans="1:19" x14ac:dyDescent="0.3">
      <c r="A29" t="s">
        <v>116</v>
      </c>
      <c r="B29" t="s">
        <v>149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  <c r="O29" t="s">
        <v>89</v>
      </c>
      <c r="P29" t="s">
        <v>89</v>
      </c>
      <c r="Q29" t="s">
        <v>89</v>
      </c>
      <c r="R29" t="s">
        <v>89</v>
      </c>
      <c r="S29" t="s">
        <v>87</v>
      </c>
    </row>
    <row r="30" spans="1:19" x14ac:dyDescent="0.3">
      <c r="A30" t="s">
        <v>117</v>
      </c>
      <c r="B30" t="s">
        <v>149</v>
      </c>
      <c r="N30" t="s">
        <v>89</v>
      </c>
      <c r="O30" t="s">
        <v>89</v>
      </c>
      <c r="P30" t="s">
        <v>89</v>
      </c>
      <c r="Q30" t="s">
        <v>89</v>
      </c>
      <c r="R30" t="s">
        <v>89</v>
      </c>
      <c r="S30" t="s">
        <v>87</v>
      </c>
    </row>
    <row r="31" spans="1:19" x14ac:dyDescent="0.3">
      <c r="A31" t="s">
        <v>113</v>
      </c>
      <c r="B31" t="s">
        <v>149</v>
      </c>
      <c r="L31" t="s">
        <v>89</v>
      </c>
      <c r="M31" t="s">
        <v>89</v>
      </c>
      <c r="N31" t="s">
        <v>89</v>
      </c>
      <c r="O31" t="s">
        <v>89</v>
      </c>
      <c r="P31" t="s">
        <v>89</v>
      </c>
      <c r="Q31" t="s">
        <v>89</v>
      </c>
      <c r="R31" t="s">
        <v>89</v>
      </c>
      <c r="S31" t="s">
        <v>87</v>
      </c>
    </row>
    <row r="32" spans="1:19" x14ac:dyDescent="0.3">
      <c r="A32" t="s">
        <v>111</v>
      </c>
      <c r="B32" t="s">
        <v>149</v>
      </c>
      <c r="D32" t="s">
        <v>89</v>
      </c>
      <c r="G32" t="s">
        <v>89</v>
      </c>
      <c r="H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  <c r="O32" t="s">
        <v>89</v>
      </c>
      <c r="S32" t="s">
        <v>87</v>
      </c>
    </row>
    <row r="33" spans="1:19" x14ac:dyDescent="0.3">
      <c r="A33" t="s">
        <v>112</v>
      </c>
      <c r="B33" t="s">
        <v>149</v>
      </c>
      <c r="N33" t="s">
        <v>89</v>
      </c>
      <c r="O33" t="s">
        <v>89</v>
      </c>
      <c r="P33" t="s">
        <v>89</v>
      </c>
      <c r="Q33" t="s">
        <v>89</v>
      </c>
      <c r="R33" t="s">
        <v>89</v>
      </c>
      <c r="S33" t="s">
        <v>87</v>
      </c>
    </row>
    <row r="34" spans="1:19" x14ac:dyDescent="0.3">
      <c r="A34" t="s">
        <v>95</v>
      </c>
      <c r="B34" t="s">
        <v>150</v>
      </c>
      <c r="L34" t="s">
        <v>89</v>
      </c>
      <c r="M34" t="s">
        <v>89</v>
      </c>
      <c r="N34" t="s">
        <v>89</v>
      </c>
      <c r="O34" t="s">
        <v>89</v>
      </c>
      <c r="P34" t="s">
        <v>89</v>
      </c>
      <c r="Q34" t="s">
        <v>89</v>
      </c>
      <c r="R34" t="s">
        <v>89</v>
      </c>
      <c r="S34" t="s">
        <v>87</v>
      </c>
    </row>
    <row r="35" spans="1:19" x14ac:dyDescent="0.3">
      <c r="A35" t="s">
        <v>96</v>
      </c>
      <c r="B35" t="s">
        <v>150</v>
      </c>
      <c r="P35" t="s">
        <v>89</v>
      </c>
      <c r="Q35" t="s">
        <v>89</v>
      </c>
      <c r="R35" t="s">
        <v>89</v>
      </c>
      <c r="S35" t="s">
        <v>87</v>
      </c>
    </row>
    <row r="36" spans="1:19" x14ac:dyDescent="0.3">
      <c r="A36" t="s">
        <v>77</v>
      </c>
      <c r="B36" t="s">
        <v>150</v>
      </c>
      <c r="L36" t="s">
        <v>89</v>
      </c>
      <c r="M36" t="s">
        <v>89</v>
      </c>
      <c r="N36" t="s">
        <v>89</v>
      </c>
      <c r="O36" t="s">
        <v>89</v>
      </c>
      <c r="P36" t="s">
        <v>89</v>
      </c>
      <c r="Q36" t="s">
        <v>89</v>
      </c>
      <c r="R36" t="s">
        <v>89</v>
      </c>
      <c r="S36" t="s">
        <v>87</v>
      </c>
    </row>
    <row r="37" spans="1:19" x14ac:dyDescent="0.3">
      <c r="A37" t="s">
        <v>97</v>
      </c>
      <c r="B37" t="s">
        <v>150</v>
      </c>
      <c r="M37" t="s">
        <v>89</v>
      </c>
      <c r="N37" t="s">
        <v>89</v>
      </c>
      <c r="O37" t="s">
        <v>89</v>
      </c>
      <c r="P37" t="s">
        <v>89</v>
      </c>
      <c r="Q37" t="s">
        <v>89</v>
      </c>
      <c r="R37" t="s">
        <v>89</v>
      </c>
      <c r="S37" t="s">
        <v>87</v>
      </c>
    </row>
    <row r="38" spans="1:19" x14ac:dyDescent="0.3">
      <c r="A38" t="s">
        <v>98</v>
      </c>
      <c r="B38" t="s">
        <v>150</v>
      </c>
      <c r="N38" t="s">
        <v>89</v>
      </c>
      <c r="O38" t="s">
        <v>89</v>
      </c>
      <c r="P38" t="s">
        <v>89</v>
      </c>
      <c r="Q38" t="s">
        <v>89</v>
      </c>
      <c r="R38" t="s">
        <v>89</v>
      </c>
      <c r="S38" t="s">
        <v>87</v>
      </c>
    </row>
    <row r="39" spans="1:19" x14ac:dyDescent="0.3">
      <c r="A39" t="s">
        <v>99</v>
      </c>
      <c r="B39" t="s">
        <v>150</v>
      </c>
    </row>
    <row r="40" spans="1:19" x14ac:dyDescent="0.3">
      <c r="A40" t="s">
        <v>110</v>
      </c>
      <c r="B40" t="s">
        <v>150</v>
      </c>
      <c r="N40" t="s">
        <v>89</v>
      </c>
      <c r="P40" t="s">
        <v>89</v>
      </c>
      <c r="Q40" t="s">
        <v>89</v>
      </c>
      <c r="R40" t="s">
        <v>89</v>
      </c>
      <c r="S40" t="s">
        <v>87</v>
      </c>
    </row>
    <row r="41" spans="1:19" x14ac:dyDescent="0.3">
      <c r="A41" t="s">
        <v>155</v>
      </c>
      <c r="B41" t="s">
        <v>150</v>
      </c>
      <c r="L41" t="s">
        <v>89</v>
      </c>
      <c r="N41" t="s">
        <v>89</v>
      </c>
      <c r="O41" t="s">
        <v>89</v>
      </c>
      <c r="P41" t="s">
        <v>89</v>
      </c>
      <c r="Q41" t="s">
        <v>89</v>
      </c>
      <c r="R41" t="s">
        <v>89</v>
      </c>
      <c r="S41" t="s">
        <v>87</v>
      </c>
    </row>
    <row r="42" spans="1:19" x14ac:dyDescent="0.3">
      <c r="A42" t="s">
        <v>22</v>
      </c>
      <c r="P42" t="s">
        <v>89</v>
      </c>
      <c r="Q42" t="s">
        <v>89</v>
      </c>
      <c r="R42" t="s">
        <v>89</v>
      </c>
      <c r="S42" t="s">
        <v>87</v>
      </c>
    </row>
    <row r="43" spans="1:19" x14ac:dyDescent="0.3">
      <c r="A43" t="s">
        <v>114</v>
      </c>
      <c r="B43" t="s">
        <v>150</v>
      </c>
      <c r="P43" t="s">
        <v>89</v>
      </c>
      <c r="Q43" t="s">
        <v>89</v>
      </c>
      <c r="S43" t="s">
        <v>87</v>
      </c>
    </row>
    <row r="44" spans="1:19" x14ac:dyDescent="0.3">
      <c r="A44" t="s">
        <v>157</v>
      </c>
      <c r="B44" t="s">
        <v>150</v>
      </c>
      <c r="N44" t="s">
        <v>89</v>
      </c>
      <c r="O44" t="s">
        <v>89</v>
      </c>
      <c r="S44" t="s">
        <v>87</v>
      </c>
    </row>
    <row r="45" spans="1:19" x14ac:dyDescent="0.3">
      <c r="A45" t="s">
        <v>156</v>
      </c>
      <c r="B45" t="s">
        <v>150</v>
      </c>
      <c r="N45" t="s">
        <v>89</v>
      </c>
      <c r="O45" t="s">
        <v>89</v>
      </c>
      <c r="S45" t="s">
        <v>87</v>
      </c>
    </row>
    <row r="46" spans="1:19" x14ac:dyDescent="0.3">
      <c r="A46" t="s">
        <v>141</v>
      </c>
      <c r="B46" t="s">
        <v>150</v>
      </c>
      <c r="R46" t="s">
        <v>89</v>
      </c>
      <c r="S46" t="s">
        <v>87</v>
      </c>
    </row>
    <row r="47" spans="1:19" x14ac:dyDescent="0.3">
      <c r="A47" t="s">
        <v>104</v>
      </c>
      <c r="B47" t="s">
        <v>151</v>
      </c>
      <c r="E47" t="s">
        <v>89</v>
      </c>
      <c r="Q47" t="s">
        <v>89</v>
      </c>
      <c r="S47" t="s">
        <v>87</v>
      </c>
    </row>
    <row r="48" spans="1:19" x14ac:dyDescent="0.3">
      <c r="A48" t="s">
        <v>76</v>
      </c>
      <c r="B48" t="s">
        <v>151</v>
      </c>
      <c r="M48" t="s">
        <v>89</v>
      </c>
      <c r="N48" t="s">
        <v>89</v>
      </c>
      <c r="P48" t="s">
        <v>89</v>
      </c>
      <c r="Q48" t="s">
        <v>89</v>
      </c>
      <c r="R48" t="s">
        <v>89</v>
      </c>
      <c r="S48" t="s">
        <v>87</v>
      </c>
    </row>
    <row r="49" spans="1:19" x14ac:dyDescent="0.3">
      <c r="A49" t="s">
        <v>93</v>
      </c>
      <c r="B49" t="s">
        <v>151</v>
      </c>
      <c r="M49" t="s">
        <v>89</v>
      </c>
      <c r="N49" t="s">
        <v>89</v>
      </c>
      <c r="O49" t="s">
        <v>89</v>
      </c>
      <c r="P49" t="s">
        <v>89</v>
      </c>
      <c r="Q49" t="s">
        <v>89</v>
      </c>
      <c r="R49" t="s">
        <v>89</v>
      </c>
      <c r="S49" t="s">
        <v>87</v>
      </c>
    </row>
    <row r="50" spans="1:19" x14ac:dyDescent="0.3">
      <c r="A50" t="s">
        <v>152</v>
      </c>
      <c r="B50" t="s">
        <v>151</v>
      </c>
      <c r="E50" t="s">
        <v>89</v>
      </c>
      <c r="M50" t="s">
        <v>89</v>
      </c>
      <c r="N50" t="s">
        <v>89</v>
      </c>
      <c r="O50" t="s">
        <v>89</v>
      </c>
      <c r="P50" t="s">
        <v>89</v>
      </c>
      <c r="Q50" t="s">
        <v>89</v>
      </c>
      <c r="R50" t="s">
        <v>89</v>
      </c>
      <c r="S50" t="s">
        <v>87</v>
      </c>
    </row>
    <row r="51" spans="1:19" x14ac:dyDescent="0.3">
      <c r="A51" t="s">
        <v>153</v>
      </c>
      <c r="B51" t="s">
        <v>151</v>
      </c>
      <c r="K51" t="s">
        <v>89</v>
      </c>
      <c r="M51" t="s">
        <v>89</v>
      </c>
      <c r="N51" t="s">
        <v>89</v>
      </c>
      <c r="O51" t="s">
        <v>89</v>
      </c>
      <c r="P51" t="s">
        <v>89</v>
      </c>
      <c r="Q51" t="s">
        <v>89</v>
      </c>
      <c r="R51" t="s">
        <v>89</v>
      </c>
      <c r="S51" t="s">
        <v>87</v>
      </c>
    </row>
    <row r="52" spans="1:19" x14ac:dyDescent="0.3">
      <c r="A52" t="s">
        <v>154</v>
      </c>
      <c r="B52" t="s">
        <v>151</v>
      </c>
      <c r="C52" t="s">
        <v>89</v>
      </c>
      <c r="E52" t="s">
        <v>89</v>
      </c>
      <c r="F52" t="s">
        <v>89</v>
      </c>
      <c r="S52" t="s">
        <v>87</v>
      </c>
    </row>
    <row r="53" spans="1:19" x14ac:dyDescent="0.3">
      <c r="A53" t="s">
        <v>158</v>
      </c>
      <c r="H53" t="s">
        <v>89</v>
      </c>
      <c r="I53" t="s">
        <v>89</v>
      </c>
      <c r="J53" t="s">
        <v>89</v>
      </c>
      <c r="K53" t="s">
        <v>89</v>
      </c>
      <c r="L53" t="s">
        <v>89</v>
      </c>
      <c r="M53" t="s">
        <v>89</v>
      </c>
      <c r="N53" t="s">
        <v>89</v>
      </c>
      <c r="O53" t="s">
        <v>89</v>
      </c>
      <c r="S53" t="s">
        <v>87</v>
      </c>
    </row>
    <row r="54" spans="1:19" x14ac:dyDescent="0.3">
      <c r="A54" t="s">
        <v>159</v>
      </c>
      <c r="C54" t="s">
        <v>89</v>
      </c>
      <c r="D54" t="s">
        <v>89</v>
      </c>
      <c r="G54" t="s">
        <v>89</v>
      </c>
      <c r="H54" t="s">
        <v>89</v>
      </c>
      <c r="S54" t="s">
        <v>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F527-7678-4557-9209-E763BF38AB8D}">
  <dimension ref="A1:F17"/>
  <sheetViews>
    <sheetView workbookViewId="0">
      <selection activeCell="B1" sqref="B1:F1048576"/>
    </sheetView>
  </sheetViews>
  <sheetFormatPr defaultRowHeight="14.4" x14ac:dyDescent="0.3"/>
  <cols>
    <col min="1" max="1" width="31.5546875" bestFit="1" customWidth="1"/>
    <col min="2" max="6" width="35.77734375" customWidth="1"/>
  </cols>
  <sheetData>
    <row r="1" spans="1:6" x14ac:dyDescent="0.3">
      <c r="A1" t="s">
        <v>212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</row>
    <row r="2" spans="1:6" x14ac:dyDescent="0.3">
      <c r="A2" t="s">
        <v>218</v>
      </c>
      <c r="B2" t="s">
        <v>154</v>
      </c>
      <c r="C2" t="s">
        <v>219</v>
      </c>
      <c r="D2" t="s">
        <v>92</v>
      </c>
    </row>
    <row r="3" spans="1:6" x14ac:dyDescent="0.3">
      <c r="A3" t="s">
        <v>220</v>
      </c>
      <c r="B3" t="s">
        <v>221</v>
      </c>
      <c r="C3" t="s">
        <v>137</v>
      </c>
      <c r="D3" t="s">
        <v>116</v>
      </c>
    </row>
    <row r="4" spans="1:6" x14ac:dyDescent="0.3">
      <c r="A4" t="s">
        <v>222</v>
      </c>
      <c r="B4" t="s">
        <v>104</v>
      </c>
      <c r="C4" t="s">
        <v>223</v>
      </c>
      <c r="D4" t="s">
        <v>76</v>
      </c>
    </row>
    <row r="5" spans="1:6" x14ac:dyDescent="0.3">
      <c r="A5" t="s">
        <v>224</v>
      </c>
      <c r="B5" t="s">
        <v>154</v>
      </c>
      <c r="C5" t="s">
        <v>225</v>
      </c>
      <c r="D5" t="s">
        <v>113</v>
      </c>
    </row>
    <row r="6" spans="1:6" x14ac:dyDescent="0.3">
      <c r="A6" t="s">
        <v>226</v>
      </c>
      <c r="B6" t="s">
        <v>111</v>
      </c>
      <c r="C6" t="s">
        <v>92</v>
      </c>
      <c r="D6" t="s">
        <v>137</v>
      </c>
      <c r="E6" t="s">
        <v>177</v>
      </c>
      <c r="F6" t="s">
        <v>176</v>
      </c>
    </row>
    <row r="7" spans="1:6" x14ac:dyDescent="0.3">
      <c r="A7" t="s">
        <v>227</v>
      </c>
      <c r="B7" t="s">
        <v>92</v>
      </c>
      <c r="C7" t="s">
        <v>98</v>
      </c>
      <c r="D7" t="s">
        <v>139</v>
      </c>
      <c r="E7" t="s">
        <v>94</v>
      </c>
      <c r="F7" t="s">
        <v>75</v>
      </c>
    </row>
    <row r="8" spans="1:6" x14ac:dyDescent="0.3">
      <c r="A8" t="s">
        <v>228</v>
      </c>
      <c r="B8" t="s">
        <v>219</v>
      </c>
      <c r="C8" t="s">
        <v>94</v>
      </c>
      <c r="D8" t="s">
        <v>92</v>
      </c>
      <c r="E8" t="s">
        <v>140</v>
      </c>
    </row>
    <row r="9" spans="1:6" x14ac:dyDescent="0.3">
      <c r="A9" t="s">
        <v>229</v>
      </c>
      <c r="B9" t="s">
        <v>101</v>
      </c>
      <c r="C9" t="s">
        <v>75</v>
      </c>
      <c r="D9" t="s">
        <v>230</v>
      </c>
    </row>
    <row r="10" spans="1:6" x14ac:dyDescent="0.3">
      <c r="A10" t="s">
        <v>231</v>
      </c>
      <c r="B10" t="s">
        <v>75</v>
      </c>
      <c r="C10" t="s">
        <v>94</v>
      </c>
      <c r="D10" t="s">
        <v>232</v>
      </c>
    </row>
    <row r="11" spans="1:6" x14ac:dyDescent="0.3">
      <c r="A11" t="s">
        <v>233</v>
      </c>
      <c r="B11" t="s">
        <v>134</v>
      </c>
      <c r="C11" t="s">
        <v>135</v>
      </c>
      <c r="D11" t="s">
        <v>234</v>
      </c>
      <c r="E11" t="s">
        <v>136</v>
      </c>
    </row>
    <row r="12" spans="1:6" x14ac:dyDescent="0.3">
      <c r="A12" t="s">
        <v>128</v>
      </c>
      <c r="B12" t="s">
        <v>81</v>
      </c>
      <c r="C12" t="s">
        <v>235</v>
      </c>
      <c r="D12" t="s">
        <v>94</v>
      </c>
      <c r="E12" t="s">
        <v>95</v>
      </c>
    </row>
    <row r="13" spans="1:6" x14ac:dyDescent="0.3">
      <c r="A13" t="s">
        <v>236</v>
      </c>
      <c r="B13" t="s">
        <v>237</v>
      </c>
      <c r="C13" t="s">
        <v>136</v>
      </c>
      <c r="D13" t="s">
        <v>108</v>
      </c>
      <c r="E13" t="s">
        <v>29</v>
      </c>
    </row>
    <row r="14" spans="1:6" x14ac:dyDescent="0.3">
      <c r="A14" t="s">
        <v>238</v>
      </c>
      <c r="B14" t="s">
        <v>136</v>
      </c>
      <c r="C14" t="s">
        <v>106</v>
      </c>
      <c r="D14" t="s">
        <v>239</v>
      </c>
    </row>
    <row r="15" spans="1:6" x14ac:dyDescent="0.3">
      <c r="A15" t="s">
        <v>240</v>
      </c>
      <c r="B15" t="s">
        <v>95</v>
      </c>
      <c r="C15" t="s">
        <v>91</v>
      </c>
      <c r="D15" t="s">
        <v>98</v>
      </c>
      <c r="E15" t="s">
        <v>92</v>
      </c>
      <c r="F15" t="s">
        <v>96</v>
      </c>
    </row>
    <row r="16" spans="1:6" x14ac:dyDescent="0.3">
      <c r="A16" t="s">
        <v>241</v>
      </c>
      <c r="B16" t="s">
        <v>88</v>
      </c>
      <c r="C16" t="s">
        <v>91</v>
      </c>
      <c r="D16" t="s">
        <v>242</v>
      </c>
      <c r="E16" t="s">
        <v>76</v>
      </c>
    </row>
    <row r="17" spans="1:6" x14ac:dyDescent="0.3">
      <c r="A17" t="s">
        <v>243</v>
      </c>
      <c r="B17" t="s">
        <v>98</v>
      </c>
      <c r="C17" t="s">
        <v>107</v>
      </c>
      <c r="D17" t="s">
        <v>92</v>
      </c>
      <c r="E17" t="s">
        <v>95</v>
      </c>
      <c r="F17" t="s">
        <v>244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6DF1-5B32-412F-AFA1-23C329E6232B}">
  <dimension ref="A1:F18"/>
  <sheetViews>
    <sheetView workbookViewId="0">
      <selection activeCell="B15" sqref="B15"/>
    </sheetView>
  </sheetViews>
  <sheetFormatPr defaultRowHeight="14.4" x14ac:dyDescent="0.3"/>
  <cols>
    <col min="1" max="1" width="24.5546875" bestFit="1" customWidth="1"/>
    <col min="2" max="2" width="24.77734375" bestFit="1" customWidth="1"/>
    <col min="3" max="3" width="21.5546875" bestFit="1" customWidth="1"/>
    <col min="4" max="4" width="23.109375" bestFit="1" customWidth="1"/>
    <col min="5" max="5" width="22.21875" bestFit="1" customWidth="1"/>
    <col min="6" max="6" width="22.44140625" bestFit="1" customWidth="1"/>
  </cols>
  <sheetData>
    <row r="1" spans="1:6" x14ac:dyDescent="0.3">
      <c r="A1" t="s">
        <v>211</v>
      </c>
    </row>
    <row r="2" spans="1:6" x14ac:dyDescent="0.3">
      <c r="A2" t="s">
        <v>149</v>
      </c>
      <c r="B2" t="s">
        <v>160</v>
      </c>
      <c r="C2" t="s">
        <v>161</v>
      </c>
      <c r="D2" t="s">
        <v>162</v>
      </c>
      <c r="E2" t="s">
        <v>163</v>
      </c>
      <c r="F2" t="s">
        <v>164</v>
      </c>
    </row>
    <row r="3" spans="1:6" x14ac:dyDescent="0.3">
      <c r="A3" t="s">
        <v>118</v>
      </c>
      <c r="B3" t="s">
        <v>154</v>
      </c>
      <c r="C3" t="s">
        <v>165</v>
      </c>
      <c r="D3" t="s">
        <v>166</v>
      </c>
    </row>
    <row r="4" spans="1:6" x14ac:dyDescent="0.3">
      <c r="A4" t="s">
        <v>119</v>
      </c>
      <c r="B4" t="s">
        <v>167</v>
      </c>
      <c r="C4" t="s">
        <v>168</v>
      </c>
      <c r="D4" t="s">
        <v>153</v>
      </c>
    </row>
    <row r="5" spans="1:6" x14ac:dyDescent="0.3">
      <c r="A5" t="s">
        <v>120</v>
      </c>
      <c r="B5" t="s">
        <v>169</v>
      </c>
      <c r="C5" t="s">
        <v>152</v>
      </c>
      <c r="D5" t="s">
        <v>170</v>
      </c>
      <c r="E5" t="s">
        <v>171</v>
      </c>
    </row>
    <row r="6" spans="1:6" x14ac:dyDescent="0.3">
      <c r="A6" t="s">
        <v>121</v>
      </c>
      <c r="B6" t="s">
        <v>172</v>
      </c>
      <c r="C6" t="s">
        <v>173</v>
      </c>
      <c r="D6" t="s">
        <v>174</v>
      </c>
      <c r="E6" t="s">
        <v>116</v>
      </c>
    </row>
    <row r="7" spans="1:6" x14ac:dyDescent="0.3">
      <c r="A7" t="s">
        <v>122</v>
      </c>
      <c r="B7" t="s">
        <v>111</v>
      </c>
      <c r="C7" t="s">
        <v>175</v>
      </c>
      <c r="D7" t="s">
        <v>176</v>
      </c>
      <c r="E7" t="s">
        <v>177</v>
      </c>
      <c r="F7" t="s">
        <v>178</v>
      </c>
    </row>
    <row r="8" spans="1:6" x14ac:dyDescent="0.3">
      <c r="A8" t="s">
        <v>123</v>
      </c>
      <c r="B8" t="s">
        <v>179</v>
      </c>
      <c r="C8" t="s">
        <v>98</v>
      </c>
      <c r="D8" t="s">
        <v>180</v>
      </c>
      <c r="E8" t="s">
        <v>181</v>
      </c>
      <c r="F8" t="s">
        <v>182</v>
      </c>
    </row>
    <row r="9" spans="1:6" x14ac:dyDescent="0.3">
      <c r="A9" t="s">
        <v>124</v>
      </c>
      <c r="B9" t="s">
        <v>137</v>
      </c>
      <c r="C9" t="s">
        <v>94</v>
      </c>
      <c r="D9" t="s">
        <v>183</v>
      </c>
      <c r="E9" t="s">
        <v>184</v>
      </c>
      <c r="F9" t="s">
        <v>92</v>
      </c>
    </row>
    <row r="10" spans="1:6" x14ac:dyDescent="0.3">
      <c r="A10" t="s">
        <v>125</v>
      </c>
      <c r="B10" t="s">
        <v>185</v>
      </c>
      <c r="C10" t="s">
        <v>186</v>
      </c>
      <c r="D10" t="s">
        <v>187</v>
      </c>
      <c r="E10" t="s">
        <v>188</v>
      </c>
    </row>
    <row r="11" spans="1:6" x14ac:dyDescent="0.3">
      <c r="A11" t="s">
        <v>126</v>
      </c>
      <c r="B11" t="s">
        <v>189</v>
      </c>
      <c r="C11" t="s">
        <v>190</v>
      </c>
      <c r="D11" t="s">
        <v>191</v>
      </c>
      <c r="E11" t="s">
        <v>192</v>
      </c>
    </row>
    <row r="12" spans="1:6" x14ac:dyDescent="0.3">
      <c r="A12" t="s">
        <v>127</v>
      </c>
      <c r="B12" t="s">
        <v>134</v>
      </c>
      <c r="C12" t="s">
        <v>135</v>
      </c>
      <c r="D12" t="s">
        <v>77</v>
      </c>
      <c r="E12" t="s">
        <v>193</v>
      </c>
      <c r="F12" t="s">
        <v>194</v>
      </c>
    </row>
    <row r="13" spans="1:6" x14ac:dyDescent="0.3">
      <c r="A13" t="s">
        <v>128</v>
      </c>
      <c r="B13" t="s">
        <v>195</v>
      </c>
      <c r="C13" t="s">
        <v>100</v>
      </c>
      <c r="D13" t="s">
        <v>196</v>
      </c>
      <c r="E13" t="s">
        <v>197</v>
      </c>
      <c r="F13" t="s">
        <v>198</v>
      </c>
    </row>
    <row r="14" spans="1:6" x14ac:dyDescent="0.3">
      <c r="A14" t="s">
        <v>129</v>
      </c>
      <c r="B14" t="s">
        <v>105</v>
      </c>
      <c r="C14" t="s">
        <v>106</v>
      </c>
      <c r="D14" t="s">
        <v>136</v>
      </c>
      <c r="E14" t="s">
        <v>108</v>
      </c>
      <c r="F14" t="s">
        <v>29</v>
      </c>
    </row>
    <row r="15" spans="1:6" x14ac:dyDescent="0.3">
      <c r="A15" t="s">
        <v>130</v>
      </c>
      <c r="B15" s="9" t="s">
        <v>199</v>
      </c>
      <c r="C15" t="s">
        <v>200</v>
      </c>
      <c r="D15" t="s">
        <v>201</v>
      </c>
      <c r="E15" t="s">
        <v>202</v>
      </c>
    </row>
    <row r="16" spans="1:6" x14ac:dyDescent="0.3">
      <c r="A16" t="s">
        <v>131</v>
      </c>
      <c r="B16" s="9" t="s">
        <v>95</v>
      </c>
      <c r="C16" s="9" t="s">
        <v>203</v>
      </c>
      <c r="D16" s="9" t="s">
        <v>204</v>
      </c>
      <c r="E16" s="8" t="s">
        <v>205</v>
      </c>
      <c r="F16" s="9" t="s">
        <v>206</v>
      </c>
    </row>
    <row r="17" spans="1:6" x14ac:dyDescent="0.3">
      <c r="A17" t="s">
        <v>132</v>
      </c>
      <c r="B17" s="8" t="s">
        <v>88</v>
      </c>
      <c r="C17" s="8" t="s">
        <v>91</v>
      </c>
      <c r="D17" s="8" t="s">
        <v>147</v>
      </c>
      <c r="E17" s="9" t="s">
        <v>207</v>
      </c>
      <c r="F17" s="9" t="s">
        <v>90</v>
      </c>
    </row>
    <row r="18" spans="1:6" x14ac:dyDescent="0.3">
      <c r="A18" t="s">
        <v>133</v>
      </c>
      <c r="B18" s="9" t="s">
        <v>208</v>
      </c>
      <c r="C18" s="8" t="s">
        <v>98</v>
      </c>
      <c r="D18" s="8" t="s">
        <v>209</v>
      </c>
      <c r="E18" s="8" t="s">
        <v>107</v>
      </c>
      <c r="F18" s="8" t="s">
        <v>210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EC7DF-C46F-44EA-8408-0EAEE076F709}">
  <dimension ref="A1:F17"/>
  <sheetViews>
    <sheetView tabSelected="1" workbookViewId="0">
      <selection activeCell="D14" sqref="D14"/>
    </sheetView>
  </sheetViews>
  <sheetFormatPr defaultRowHeight="14.4" x14ac:dyDescent="0.3"/>
  <cols>
    <col min="1" max="1" width="12" customWidth="1"/>
    <col min="2" max="2" width="24.77734375" bestFit="1" customWidth="1"/>
    <col min="3" max="3" width="21.5546875" bestFit="1" customWidth="1"/>
    <col min="4" max="4" width="22.33203125" bestFit="1" customWidth="1"/>
    <col min="5" max="5" width="20.44140625" bestFit="1" customWidth="1"/>
    <col min="6" max="6" width="22.44140625" bestFit="1" customWidth="1"/>
  </cols>
  <sheetData>
    <row r="1" spans="1:6" x14ac:dyDescent="0.3">
      <c r="A1" t="s">
        <v>212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</row>
    <row r="2" spans="1:6" x14ac:dyDescent="0.3">
      <c r="A2" s="7" t="s">
        <v>218</v>
      </c>
      <c r="B2" s="7" t="s">
        <v>154</v>
      </c>
      <c r="C2" s="7" t="s">
        <v>245</v>
      </c>
      <c r="D2" s="7" t="s">
        <v>246</v>
      </c>
      <c r="E2" s="7"/>
      <c r="F2" s="7"/>
    </row>
    <row r="3" spans="1:6" x14ac:dyDescent="0.3">
      <c r="A3" s="7" t="s">
        <v>220</v>
      </c>
      <c r="B3" s="7" t="s">
        <v>168</v>
      </c>
      <c r="C3" s="7" t="s">
        <v>167</v>
      </c>
      <c r="D3" s="7" t="s">
        <v>247</v>
      </c>
      <c r="E3" s="7"/>
      <c r="F3" s="7"/>
    </row>
    <row r="4" spans="1:6" x14ac:dyDescent="0.3">
      <c r="A4" s="7" t="s">
        <v>222</v>
      </c>
      <c r="B4" s="7" t="s">
        <v>104</v>
      </c>
      <c r="C4" s="7" t="s">
        <v>152</v>
      </c>
      <c r="D4" s="7" t="s">
        <v>170</v>
      </c>
      <c r="E4" s="7" t="s">
        <v>171</v>
      </c>
      <c r="F4" s="7"/>
    </row>
    <row r="5" spans="1:6" x14ac:dyDescent="0.3">
      <c r="A5" s="7" t="s">
        <v>224</v>
      </c>
      <c r="B5" s="7" t="s">
        <v>172</v>
      </c>
      <c r="C5" s="7" t="s">
        <v>174</v>
      </c>
      <c r="D5" s="7" t="s">
        <v>248</v>
      </c>
      <c r="E5" s="7" t="s">
        <v>249</v>
      </c>
      <c r="F5" s="7"/>
    </row>
    <row r="6" spans="1:6" x14ac:dyDescent="0.3">
      <c r="A6" s="7" t="s">
        <v>226</v>
      </c>
      <c r="B6" s="7" t="s">
        <v>111</v>
      </c>
      <c r="C6" s="7" t="s">
        <v>175</v>
      </c>
      <c r="D6" s="7" t="s">
        <v>176</v>
      </c>
      <c r="E6" s="7" t="s">
        <v>177</v>
      </c>
      <c r="F6" s="7" t="s">
        <v>178</v>
      </c>
    </row>
    <row r="7" spans="1:6" x14ac:dyDescent="0.3">
      <c r="A7" s="7" t="s">
        <v>227</v>
      </c>
      <c r="B7" s="7" t="s">
        <v>179</v>
      </c>
      <c r="C7" s="7" t="s">
        <v>98</v>
      </c>
      <c r="D7" s="7" t="s">
        <v>180</v>
      </c>
      <c r="E7" s="7" t="s">
        <v>181</v>
      </c>
      <c r="F7" s="7" t="s">
        <v>182</v>
      </c>
    </row>
    <row r="8" spans="1:6" x14ac:dyDescent="0.3">
      <c r="A8" s="7" t="s">
        <v>228</v>
      </c>
      <c r="B8" s="7" t="s">
        <v>137</v>
      </c>
      <c r="C8" s="7" t="s">
        <v>183</v>
      </c>
      <c r="D8" s="7" t="s">
        <v>184</v>
      </c>
      <c r="E8" s="7" t="s">
        <v>92</v>
      </c>
      <c r="F8" s="7" t="s">
        <v>250</v>
      </c>
    </row>
    <row r="9" spans="1:6" x14ac:dyDescent="0.3">
      <c r="A9" s="7" t="s">
        <v>229</v>
      </c>
      <c r="B9" s="7" t="s">
        <v>185</v>
      </c>
      <c r="C9" s="7" t="s">
        <v>186</v>
      </c>
      <c r="D9" s="7" t="s">
        <v>251</v>
      </c>
      <c r="E9" s="7" t="s">
        <v>252</v>
      </c>
      <c r="F9" s="7"/>
    </row>
    <row r="10" spans="1:6" x14ac:dyDescent="0.3">
      <c r="A10" s="7" t="s">
        <v>231</v>
      </c>
      <c r="B10" s="7" t="s">
        <v>189</v>
      </c>
      <c r="C10" s="7" t="s">
        <v>190</v>
      </c>
      <c r="D10" s="7" t="s">
        <v>191</v>
      </c>
      <c r="E10" s="7" t="s">
        <v>253</v>
      </c>
      <c r="F10" s="7"/>
    </row>
    <row r="11" spans="1:6" x14ac:dyDescent="0.3">
      <c r="A11" s="7" t="s">
        <v>233</v>
      </c>
      <c r="B11" s="7" t="s">
        <v>134</v>
      </c>
      <c r="C11" s="7" t="s">
        <v>135</v>
      </c>
      <c r="D11" s="7" t="s">
        <v>193</v>
      </c>
      <c r="E11" s="7" t="s">
        <v>254</v>
      </c>
      <c r="F11" s="7" t="s">
        <v>255</v>
      </c>
    </row>
    <row r="12" spans="1:6" x14ac:dyDescent="0.3">
      <c r="A12" s="7" t="s">
        <v>128</v>
      </c>
      <c r="B12" s="7" t="s">
        <v>195</v>
      </c>
      <c r="C12" s="7" t="s">
        <v>100</v>
      </c>
      <c r="D12" s="7" t="s">
        <v>198</v>
      </c>
      <c r="E12" s="7" t="s">
        <v>196</v>
      </c>
      <c r="F12" s="7" t="s">
        <v>256</v>
      </c>
    </row>
    <row r="13" spans="1:6" x14ac:dyDescent="0.3">
      <c r="A13" s="7" t="s">
        <v>236</v>
      </c>
      <c r="B13" s="7" t="s">
        <v>105</v>
      </c>
      <c r="C13" s="7" t="s">
        <v>106</v>
      </c>
      <c r="D13" s="7" t="s">
        <v>136</v>
      </c>
      <c r="E13" s="7" t="s">
        <v>108</v>
      </c>
      <c r="F13" s="7" t="s">
        <v>29</v>
      </c>
    </row>
    <row r="14" spans="1:6" x14ac:dyDescent="0.3">
      <c r="A14" s="7" t="s">
        <v>238</v>
      </c>
      <c r="B14" s="7" t="s">
        <v>199</v>
      </c>
      <c r="C14" s="7" t="s">
        <v>257</v>
      </c>
      <c r="D14" s="10" t="s">
        <v>258</v>
      </c>
      <c r="E14" s="7" t="s">
        <v>259</v>
      </c>
      <c r="F14" s="7"/>
    </row>
    <row r="15" spans="1:6" x14ac:dyDescent="0.3">
      <c r="A15" s="7" t="s">
        <v>240</v>
      </c>
      <c r="B15" s="7" t="s">
        <v>95</v>
      </c>
      <c r="C15" s="7" t="s">
        <v>203</v>
      </c>
      <c r="D15" s="7" t="s">
        <v>204</v>
      </c>
      <c r="E15" s="7" t="s">
        <v>206</v>
      </c>
      <c r="F15" s="7" t="s">
        <v>205</v>
      </c>
    </row>
    <row r="16" spans="1:6" x14ac:dyDescent="0.3">
      <c r="A16" s="7" t="s">
        <v>241</v>
      </c>
      <c r="B16" s="7" t="s">
        <v>88</v>
      </c>
      <c r="C16" s="7" t="s">
        <v>91</v>
      </c>
      <c r="D16" s="7" t="s">
        <v>147</v>
      </c>
      <c r="E16" s="7" t="s">
        <v>207</v>
      </c>
      <c r="F16" s="7" t="s">
        <v>90</v>
      </c>
    </row>
    <row r="17" spans="1:6" x14ac:dyDescent="0.3">
      <c r="A17" s="7" t="s">
        <v>243</v>
      </c>
      <c r="B17" s="7" t="s">
        <v>208</v>
      </c>
      <c r="C17" s="7" t="s">
        <v>107</v>
      </c>
      <c r="D17" s="7" t="s">
        <v>209</v>
      </c>
      <c r="E17" s="7" t="s">
        <v>210</v>
      </c>
      <c r="F17" s="10" t="s">
        <v>260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FDD6-7391-4839-9AD3-2B3059482D1F}">
  <sheetPr filterMode="1"/>
  <dimension ref="A1:B88"/>
  <sheetViews>
    <sheetView topLeftCell="A40" workbookViewId="0">
      <selection activeCell="E73" sqref="E73"/>
    </sheetView>
  </sheetViews>
  <sheetFormatPr defaultRowHeight="14.4" x14ac:dyDescent="0.3"/>
  <cols>
    <col min="1" max="1" width="33.109375" customWidth="1"/>
  </cols>
  <sheetData>
    <row r="1" spans="1:2" x14ac:dyDescent="0.3">
      <c r="A1" t="s">
        <v>261</v>
      </c>
      <c r="B1" t="s">
        <v>262</v>
      </c>
    </row>
    <row r="2" spans="1:2" x14ac:dyDescent="0.3">
      <c r="A2" t="s">
        <v>208</v>
      </c>
      <c r="B2" t="str">
        <f>_xlfn.XLOOKUP(A2,Planilha2!A:A,A:A,"")</f>
        <v/>
      </c>
    </row>
    <row r="3" spans="1:2" x14ac:dyDescent="0.3">
      <c r="A3" t="s">
        <v>174</v>
      </c>
      <c r="B3" t="str">
        <f>_xlfn.XLOOKUP(A3,Planilha2!A:A,A:A,"")</f>
        <v/>
      </c>
    </row>
    <row r="4" spans="1:2" x14ac:dyDescent="0.3">
      <c r="A4" t="s">
        <v>260</v>
      </c>
      <c r="B4" t="str">
        <f>_xlfn.XLOOKUP(A4,Planilha2!A:A,A:A,"")</f>
        <v/>
      </c>
    </row>
    <row r="5" spans="1:2" x14ac:dyDescent="0.3">
      <c r="A5" t="s">
        <v>259</v>
      </c>
      <c r="B5" t="str">
        <f>_xlfn.XLOOKUP(A5,Planilha2!A:A,A:A,"")</f>
        <v/>
      </c>
    </row>
    <row r="6" spans="1:2" hidden="1" x14ac:dyDescent="0.3">
      <c r="A6" t="s">
        <v>77</v>
      </c>
      <c r="B6" t="str">
        <f>_xlfn.XLOOKUP(A6,Planilha2!A:A,A:A,"")</f>
        <v>Inventory Turnover</v>
      </c>
    </row>
    <row r="7" spans="1:2" x14ac:dyDescent="0.3">
      <c r="A7" t="s">
        <v>180</v>
      </c>
      <c r="B7" t="str">
        <f>_xlfn.XLOOKUP(A7,Planilha2!A:A,A:A,"")</f>
        <v/>
      </c>
    </row>
    <row r="8" spans="1:2" x14ac:dyDescent="0.3">
      <c r="A8" t="s">
        <v>193</v>
      </c>
      <c r="B8" t="str">
        <f>_xlfn.XLOOKUP(A8,Planilha2!A:A,A:A,"")</f>
        <v/>
      </c>
    </row>
    <row r="9" spans="1:2" hidden="1" x14ac:dyDescent="0.3">
      <c r="A9" t="s">
        <v>116</v>
      </c>
      <c r="B9" t="str">
        <f>_xlfn.XLOOKUP(A9,Planilha2!A:A,A:A,"")</f>
        <v>Fleet Optimization</v>
      </c>
    </row>
    <row r="10" spans="1:2" hidden="1" x14ac:dyDescent="0.3">
      <c r="A10" t="s">
        <v>136</v>
      </c>
      <c r="B10" t="str">
        <f>_xlfn.XLOOKUP(A10,Planilha2!A:A,A:A,"")</f>
        <v>Automation Strategy</v>
      </c>
    </row>
    <row r="11" spans="1:2" x14ac:dyDescent="0.3">
      <c r="A11" t="s">
        <v>209</v>
      </c>
      <c r="B11" t="str">
        <f>_xlfn.XLOOKUP(A11,Planilha2!A:A,A:A,"")</f>
        <v/>
      </c>
    </row>
    <row r="12" spans="1:2" x14ac:dyDescent="0.3">
      <c r="A12" t="s">
        <v>197</v>
      </c>
      <c r="B12" t="str">
        <f>_xlfn.XLOOKUP(A12,Planilha2!A:A,A:A,"")</f>
        <v/>
      </c>
    </row>
    <row r="13" spans="1:2" x14ac:dyDescent="0.3">
      <c r="A13" t="s">
        <v>190</v>
      </c>
      <c r="B13" t="str">
        <f>_xlfn.XLOOKUP(A13,Planilha2!A:A,A:A,"")</f>
        <v/>
      </c>
    </row>
    <row r="14" spans="1:2" hidden="1" x14ac:dyDescent="0.3">
      <c r="A14" t="s">
        <v>94</v>
      </c>
      <c r="B14" t="str">
        <f>_xlfn.XLOOKUP(A14,Planilha2!A:A,A:A,"")</f>
        <v>Conversion Optimization</v>
      </c>
    </row>
    <row r="15" spans="1:2" hidden="1" x14ac:dyDescent="0.3">
      <c r="A15" t="s">
        <v>108</v>
      </c>
      <c r="B15" t="str">
        <f>_xlfn.XLOOKUP(A15,Planilha2!A:A,A:A,"")</f>
        <v>ERP Deployment</v>
      </c>
    </row>
    <row r="16" spans="1:2" hidden="1" x14ac:dyDescent="0.3">
      <c r="A16" t="s">
        <v>105</v>
      </c>
      <c r="B16" t="str">
        <f>_xlfn.XLOOKUP(A16,Planilha2!A:A,A:A,"")</f>
        <v>Documentation Control</v>
      </c>
    </row>
    <row r="17" spans="1:2" hidden="1" x14ac:dyDescent="0.3">
      <c r="A17" t="s">
        <v>107</v>
      </c>
      <c r="B17" t="str">
        <f>_xlfn.XLOOKUP(A17,Planilha2!A:A,A:A,"")</f>
        <v>BPO Insourcing</v>
      </c>
    </row>
    <row r="18" spans="1:2" hidden="1" x14ac:dyDescent="0.3">
      <c r="A18" t="s">
        <v>106</v>
      </c>
      <c r="B18" t="str">
        <f>_xlfn.XLOOKUP(A18,Planilha2!A:A,A:A,"")</f>
        <v>End-to-End Operations</v>
      </c>
    </row>
    <row r="19" spans="1:2" hidden="1" x14ac:dyDescent="0.3">
      <c r="A19" t="s">
        <v>95</v>
      </c>
      <c r="B19" t="str">
        <f>_xlfn.XLOOKUP(A19,Planilha2!A:A,A:A,"")</f>
        <v>Integrated Planning</v>
      </c>
    </row>
    <row r="20" spans="1:2" x14ac:dyDescent="0.3">
      <c r="A20" t="s">
        <v>194</v>
      </c>
      <c r="B20" t="str">
        <f>_xlfn.XLOOKUP(A20,Planilha2!A:A,A:A,"")</f>
        <v/>
      </c>
    </row>
    <row r="21" spans="1:2" hidden="1" x14ac:dyDescent="0.3">
      <c r="A21" t="s">
        <v>100</v>
      </c>
      <c r="B21" t="str">
        <f>_xlfn.XLOOKUP(A21,Planilha2!A:A,A:A,"")</f>
        <v>Demand Planning</v>
      </c>
    </row>
    <row r="22" spans="1:2" x14ac:dyDescent="0.3">
      <c r="A22" t="s">
        <v>201</v>
      </c>
      <c r="B22" t="str">
        <f>_xlfn.XLOOKUP(A22,Planilha2!A:A,A:A,"")</f>
        <v/>
      </c>
    </row>
    <row r="23" spans="1:2" x14ac:dyDescent="0.3">
      <c r="A23" t="s">
        <v>252</v>
      </c>
      <c r="B23" t="str">
        <f>_xlfn.XLOOKUP(A23,Planilha2!A:A,A:A,"")</f>
        <v/>
      </c>
    </row>
    <row r="24" spans="1:2" x14ac:dyDescent="0.3">
      <c r="A24" t="s">
        <v>249</v>
      </c>
      <c r="B24" t="str">
        <f>_xlfn.XLOOKUP(A24,Planilha2!A:A,A:A,"")</f>
        <v/>
      </c>
    </row>
    <row r="25" spans="1:2" x14ac:dyDescent="0.3">
      <c r="A25" t="s">
        <v>179</v>
      </c>
      <c r="B25" t="str">
        <f>_xlfn.XLOOKUP(A25,Planilha2!A:A,A:A,"")</f>
        <v/>
      </c>
    </row>
    <row r="26" spans="1:2" x14ac:dyDescent="0.3">
      <c r="A26" t="s">
        <v>187</v>
      </c>
      <c r="B26" t="str">
        <f>_xlfn.XLOOKUP(A26,Planilha2!A:A,A:A,"")</f>
        <v/>
      </c>
    </row>
    <row r="27" spans="1:2" x14ac:dyDescent="0.3">
      <c r="A27" t="s">
        <v>177</v>
      </c>
      <c r="B27" t="str">
        <f>_xlfn.XLOOKUP(A27,Planilha2!A:A,A:A,"")</f>
        <v/>
      </c>
    </row>
    <row r="28" spans="1:2" hidden="1" x14ac:dyDescent="0.3">
      <c r="A28" t="s">
        <v>152</v>
      </c>
      <c r="B28" t="str">
        <f>_xlfn.XLOOKUP(A28,Planilha2!A:A,A:A,"")</f>
        <v>Operational Scalability</v>
      </c>
    </row>
    <row r="29" spans="1:2" x14ac:dyDescent="0.3">
      <c r="A29" t="s">
        <v>204</v>
      </c>
      <c r="B29" t="str">
        <f>_xlfn.XLOOKUP(A29,Planilha2!A:A,A:A,"")</f>
        <v/>
      </c>
    </row>
    <row r="30" spans="1:2" x14ac:dyDescent="0.3">
      <c r="A30" t="s">
        <v>258</v>
      </c>
      <c r="B30" t="str">
        <f>_xlfn.XLOOKUP(A30,Planilha2!A:A,A:A,"")</f>
        <v/>
      </c>
    </row>
    <row r="31" spans="1:2" x14ac:dyDescent="0.3">
      <c r="A31" t="s">
        <v>256</v>
      </c>
      <c r="B31" t="str">
        <f>_xlfn.XLOOKUP(A31,Planilha2!A:A,A:A,"")</f>
        <v/>
      </c>
    </row>
    <row r="32" spans="1:2" x14ac:dyDescent="0.3">
      <c r="A32" t="s">
        <v>245</v>
      </c>
      <c r="B32" t="str">
        <f>_xlfn.XLOOKUP(A32,Planilha2!A:A,A:A,"")</f>
        <v/>
      </c>
    </row>
    <row r="33" spans="1:2" x14ac:dyDescent="0.3">
      <c r="A33" t="s">
        <v>183</v>
      </c>
      <c r="B33" t="str">
        <f>_xlfn.XLOOKUP(A33,Planilha2!A:A,A:A,"")</f>
        <v/>
      </c>
    </row>
    <row r="34" spans="1:2" x14ac:dyDescent="0.3">
      <c r="A34" t="s">
        <v>196</v>
      </c>
      <c r="B34" t="str">
        <f>_xlfn.XLOOKUP(A34,Planilha2!A:A,A:A,"")</f>
        <v/>
      </c>
    </row>
    <row r="35" spans="1:2" x14ac:dyDescent="0.3">
      <c r="A35" t="s">
        <v>176</v>
      </c>
      <c r="B35" t="str">
        <f>_xlfn.XLOOKUP(A35,Planilha2!A:A,A:A,"")</f>
        <v/>
      </c>
    </row>
    <row r="36" spans="1:2" x14ac:dyDescent="0.3">
      <c r="A36" t="s">
        <v>191</v>
      </c>
      <c r="B36" t="str">
        <f>_xlfn.XLOOKUP(A36,Planilha2!A:A,A:A,"")</f>
        <v/>
      </c>
    </row>
    <row r="37" spans="1:2" x14ac:dyDescent="0.3">
      <c r="A37" t="s">
        <v>170</v>
      </c>
      <c r="B37" t="str">
        <f>_xlfn.XLOOKUP(A37,Planilha2!A:A,A:A,"")</f>
        <v/>
      </c>
    </row>
    <row r="38" spans="1:2" x14ac:dyDescent="0.3">
      <c r="A38" t="s">
        <v>184</v>
      </c>
      <c r="B38" t="str">
        <f>_xlfn.XLOOKUP(A38,Planilha2!A:A,A:A,"")</f>
        <v/>
      </c>
    </row>
    <row r="39" spans="1:2" x14ac:dyDescent="0.3">
      <c r="A39" t="s">
        <v>200</v>
      </c>
      <c r="B39" t="str">
        <f>_xlfn.XLOOKUP(A39,Planilha2!A:A,A:A,"")</f>
        <v/>
      </c>
    </row>
    <row r="40" spans="1:2" x14ac:dyDescent="0.3">
      <c r="A40" t="s">
        <v>257</v>
      </c>
      <c r="B40" t="str">
        <f>_xlfn.XLOOKUP(A40,Planilha2!A:A,A:A,"")</f>
        <v/>
      </c>
    </row>
    <row r="41" spans="1:2" x14ac:dyDescent="0.3">
      <c r="A41" t="s">
        <v>185</v>
      </c>
      <c r="B41" t="str">
        <f>_xlfn.XLOOKUP(A41,Planilha2!A:A,A:A,"")</f>
        <v/>
      </c>
    </row>
    <row r="42" spans="1:2" hidden="1" x14ac:dyDescent="0.3">
      <c r="A42" t="s">
        <v>104</v>
      </c>
      <c r="B42" t="str">
        <f>_xlfn.XLOOKUP(A42,Planilha2!A:A,A:A,"")</f>
        <v>Operational Efficiency</v>
      </c>
    </row>
    <row r="43" spans="1:2" x14ac:dyDescent="0.3">
      <c r="A43" t="s">
        <v>169</v>
      </c>
      <c r="B43" t="str">
        <f>_xlfn.XLOOKUP(A43,Planilha2!A:A,A:A,"")</f>
        <v/>
      </c>
    </row>
    <row r="44" spans="1:2" x14ac:dyDescent="0.3">
      <c r="A44" t="s">
        <v>255</v>
      </c>
      <c r="B44" t="str">
        <f>_xlfn.XLOOKUP(A44,Planilha2!A:A,A:A,"")</f>
        <v/>
      </c>
    </row>
    <row r="45" spans="1:2" hidden="1" x14ac:dyDescent="0.3">
      <c r="A45" t="s">
        <v>29</v>
      </c>
      <c r="B45" t="str">
        <f>_xlfn.XLOOKUP(A45,Planilha2!A:A,A:A,"")</f>
        <v>Business Intelligence</v>
      </c>
    </row>
    <row r="46" spans="1:2" x14ac:dyDescent="0.3">
      <c r="A46" t="s">
        <v>248</v>
      </c>
      <c r="B46" t="str">
        <f>_xlfn.XLOOKUP(A46,Planilha2!A:A,A:A,"")</f>
        <v/>
      </c>
    </row>
    <row r="47" spans="1:2" hidden="1" x14ac:dyDescent="0.3">
      <c r="A47" t="s">
        <v>92</v>
      </c>
      <c r="B47" t="str">
        <f>_xlfn.XLOOKUP(A47,Planilha2!A:A,A:A,"")</f>
        <v>Cost Efficiency</v>
      </c>
    </row>
    <row r="48" spans="1:2" x14ac:dyDescent="0.3">
      <c r="A48" t="s">
        <v>166</v>
      </c>
      <c r="B48" t="str">
        <f>_xlfn.XLOOKUP(A48,Planilha2!A:A,A:A,"")</f>
        <v/>
      </c>
    </row>
    <row r="49" spans="1:2" x14ac:dyDescent="0.3">
      <c r="A49" t="s">
        <v>202</v>
      </c>
      <c r="B49" t="str">
        <f>_xlfn.XLOOKUP(A49,Planilha2!A:A,A:A,"")</f>
        <v/>
      </c>
    </row>
    <row r="50" spans="1:2" x14ac:dyDescent="0.3">
      <c r="A50" t="s">
        <v>205</v>
      </c>
      <c r="B50" t="str">
        <f>_xlfn.XLOOKUP(A50,Planilha2!A:A,A:A,"")</f>
        <v/>
      </c>
    </row>
    <row r="51" spans="1:2" x14ac:dyDescent="0.3">
      <c r="A51" t="s">
        <v>182</v>
      </c>
      <c r="B51" t="str">
        <f>_xlfn.XLOOKUP(A51,Planilha2!A:A,A:A,"")</f>
        <v/>
      </c>
    </row>
    <row r="52" spans="1:2" hidden="1" x14ac:dyDescent="0.3">
      <c r="A52" t="s">
        <v>88</v>
      </c>
      <c r="B52" t="str">
        <f>_xlfn.XLOOKUP(A52,Planilha2!A:A,A:A,"")</f>
        <v>Customer Retention</v>
      </c>
    </row>
    <row r="53" spans="1:2" x14ac:dyDescent="0.3">
      <c r="A53" t="s">
        <v>90</v>
      </c>
      <c r="B53" t="str">
        <f>_xlfn.XLOOKUP(A53,Planilha2!A:A,A:A,"")</f>
        <v/>
      </c>
    </row>
    <row r="54" spans="1:2" x14ac:dyDescent="0.3">
      <c r="A54" t="s">
        <v>250</v>
      </c>
      <c r="B54" t="str">
        <f>_xlfn.XLOOKUP(A54,Planilha2!A:A,A:A,"")</f>
        <v/>
      </c>
    </row>
    <row r="55" spans="1:2" x14ac:dyDescent="0.3">
      <c r="A55" t="s">
        <v>251</v>
      </c>
      <c r="B55" t="str">
        <f>_xlfn.XLOOKUP(A55,Planilha2!A:A,A:A,"")</f>
        <v/>
      </c>
    </row>
    <row r="56" spans="1:2" x14ac:dyDescent="0.3">
      <c r="A56" t="s">
        <v>207</v>
      </c>
      <c r="B56" t="str">
        <f>_xlfn.XLOOKUP(A56,Planilha2!A:A,A:A,"")</f>
        <v/>
      </c>
    </row>
    <row r="57" spans="1:2" hidden="1" x14ac:dyDescent="0.3">
      <c r="A57" t="s">
        <v>135</v>
      </c>
      <c r="B57" t="str">
        <f>_xlfn.XLOOKUP(A57,Planilha2!A:A,A:A,"")</f>
        <v>Audit &amp; Compliance</v>
      </c>
    </row>
    <row r="58" spans="1:2" hidden="1" x14ac:dyDescent="0.3">
      <c r="A58" t="s">
        <v>98</v>
      </c>
      <c r="B58" t="str">
        <f>_xlfn.XLOOKUP(A58,Planilha2!A:A,A:A,"")</f>
        <v>KPI Management</v>
      </c>
    </row>
    <row r="59" spans="1:2" x14ac:dyDescent="0.3">
      <c r="A59" t="s">
        <v>246</v>
      </c>
      <c r="B59" t="str">
        <f>_xlfn.XLOOKUP(A59,Planilha2!A:A,A:A,"")</f>
        <v/>
      </c>
    </row>
    <row r="60" spans="1:2" x14ac:dyDescent="0.3">
      <c r="A60" t="s">
        <v>165</v>
      </c>
      <c r="B60" t="str">
        <f>_xlfn.XLOOKUP(A60,Planilha2!A:A,A:A,"")</f>
        <v/>
      </c>
    </row>
    <row r="61" spans="1:2" hidden="1" x14ac:dyDescent="0.3">
      <c r="A61" t="s">
        <v>137</v>
      </c>
      <c r="B61" t="str">
        <f>_xlfn.XLOOKUP(A61,Planilha2!A:A,A:A,"")</f>
        <v>Cost Management</v>
      </c>
    </row>
    <row r="62" spans="1:2" x14ac:dyDescent="0.3">
      <c r="A62" t="s">
        <v>173</v>
      </c>
      <c r="B62" t="str">
        <f>_xlfn.XLOOKUP(A62,Planilha2!A:A,A:A,"")</f>
        <v/>
      </c>
    </row>
    <row r="63" spans="1:2" x14ac:dyDescent="0.3">
      <c r="A63" t="s">
        <v>168</v>
      </c>
      <c r="B63" t="str">
        <f>_xlfn.XLOOKUP(A63,Planilha2!A:A,A:A,"")</f>
        <v/>
      </c>
    </row>
    <row r="64" spans="1:2" x14ac:dyDescent="0.3">
      <c r="A64" t="s">
        <v>175</v>
      </c>
      <c r="B64" t="str">
        <f>_xlfn.XLOOKUP(A64,Planilha2!A:A,A:A,"")</f>
        <v/>
      </c>
    </row>
    <row r="65" spans="1:2" x14ac:dyDescent="0.3">
      <c r="A65" t="s">
        <v>178</v>
      </c>
      <c r="B65" t="str">
        <f>_xlfn.XLOOKUP(A65,Planilha2!A:A,A:A,"")</f>
        <v/>
      </c>
    </row>
    <row r="66" spans="1:2" x14ac:dyDescent="0.3">
      <c r="A66" t="s">
        <v>167</v>
      </c>
      <c r="B66" t="str">
        <f>_xlfn.XLOOKUP(A66,Planilha2!A:A,A:A,"")</f>
        <v/>
      </c>
    </row>
    <row r="67" spans="1:2" hidden="1" x14ac:dyDescent="0.3">
      <c r="A67" t="s">
        <v>154</v>
      </c>
      <c r="B67" t="str">
        <f>_xlfn.XLOOKUP(A67,Planilha2!A:A,A:A,"")</f>
        <v>Operations Leadership</v>
      </c>
    </row>
    <row r="68" spans="1:2" x14ac:dyDescent="0.3">
      <c r="A68" t="s">
        <v>172</v>
      </c>
      <c r="B68" t="str">
        <f>_xlfn.XLOOKUP(A68,Planilha2!A:A,A:A,"")</f>
        <v/>
      </c>
    </row>
    <row r="69" spans="1:2" x14ac:dyDescent="0.3">
      <c r="A69" t="s">
        <v>203</v>
      </c>
      <c r="B69" t="str">
        <f>_xlfn.XLOOKUP(A69,Planilha2!A:A,A:A,"")</f>
        <v/>
      </c>
    </row>
    <row r="70" spans="1:2" hidden="1" x14ac:dyDescent="0.3">
      <c r="A70" t="s">
        <v>134</v>
      </c>
      <c r="B70" t="str">
        <f>_xlfn.XLOOKUP(A70,Planilha2!A:A,A:A,"")</f>
        <v>AI-Driven Operations</v>
      </c>
    </row>
    <row r="71" spans="1:2" hidden="1" x14ac:dyDescent="0.3">
      <c r="A71" t="s">
        <v>153</v>
      </c>
      <c r="B71" t="str">
        <f>_xlfn.XLOOKUP(A71,Planilha2!A:A,A:A,"")</f>
        <v>Operational Turnaround</v>
      </c>
    </row>
    <row r="72" spans="1:2" x14ac:dyDescent="0.3">
      <c r="A72" t="s">
        <v>195</v>
      </c>
      <c r="B72" t="str">
        <f>_xlfn.XLOOKUP(A72,Planilha2!A:A,A:A,"")</f>
        <v/>
      </c>
    </row>
    <row r="73" spans="1:2" x14ac:dyDescent="0.3">
      <c r="A73" t="s">
        <v>199</v>
      </c>
      <c r="B73" t="str">
        <f>_xlfn.XLOOKUP(A73,Planilha2!A:A,A:A,"")</f>
        <v/>
      </c>
    </row>
    <row r="74" spans="1:2" x14ac:dyDescent="0.3">
      <c r="A74" t="s">
        <v>254</v>
      </c>
      <c r="B74" t="str">
        <f>_xlfn.XLOOKUP(A74,Planilha2!A:A,A:A,"")</f>
        <v/>
      </c>
    </row>
    <row r="75" spans="1:2" hidden="1" x14ac:dyDescent="0.3">
      <c r="A75" t="s">
        <v>91</v>
      </c>
      <c r="B75" t="str">
        <f>_xlfn.XLOOKUP(A75,Planilha2!A:A,A:A,"")</f>
        <v>Customer Experience (CX)</v>
      </c>
    </row>
    <row r="76" spans="1:2" x14ac:dyDescent="0.3">
      <c r="A76" t="s">
        <v>198</v>
      </c>
      <c r="B76" t="str">
        <f>_xlfn.XLOOKUP(A76,Planilha2!A:A,A:A,"")</f>
        <v/>
      </c>
    </row>
    <row r="77" spans="1:2" x14ac:dyDescent="0.3">
      <c r="A77" t="s">
        <v>206</v>
      </c>
      <c r="B77" t="str">
        <f>_xlfn.XLOOKUP(A77,Planilha2!A:A,A:A,"")</f>
        <v/>
      </c>
    </row>
    <row r="78" spans="1:2" x14ac:dyDescent="0.3">
      <c r="A78" t="s">
        <v>247</v>
      </c>
      <c r="B78" t="str">
        <f>_xlfn.XLOOKUP(A78,Planilha2!A:A,A:A,"")</f>
        <v/>
      </c>
    </row>
    <row r="79" spans="1:2" x14ac:dyDescent="0.3">
      <c r="A79" t="s">
        <v>171</v>
      </c>
      <c r="B79" t="str">
        <f>_xlfn.XLOOKUP(A79,Planilha2!A:A,A:A,"")</f>
        <v/>
      </c>
    </row>
    <row r="80" spans="1:2" x14ac:dyDescent="0.3">
      <c r="A80" t="s">
        <v>189</v>
      </c>
      <c r="B80" t="str">
        <f>_xlfn.XLOOKUP(A80,Planilha2!A:A,A:A,"")</f>
        <v/>
      </c>
    </row>
    <row r="81" spans="1:2" x14ac:dyDescent="0.3">
      <c r="A81" t="s">
        <v>192</v>
      </c>
      <c r="B81" t="str">
        <f>_xlfn.XLOOKUP(A81,Planilha2!A:A,A:A,"")</f>
        <v/>
      </c>
    </row>
    <row r="82" spans="1:2" x14ac:dyDescent="0.3">
      <c r="A82" t="s">
        <v>253</v>
      </c>
      <c r="B82" t="str">
        <f>_xlfn.XLOOKUP(A82,Planilha2!A:A,A:A,"")</f>
        <v/>
      </c>
    </row>
    <row r="83" spans="1:2" x14ac:dyDescent="0.3">
      <c r="A83" t="s">
        <v>188</v>
      </c>
      <c r="B83" t="str">
        <f>_xlfn.XLOOKUP(A83,Planilha2!A:A,A:A,"")</f>
        <v/>
      </c>
    </row>
    <row r="84" spans="1:2" x14ac:dyDescent="0.3">
      <c r="A84" t="s">
        <v>181</v>
      </c>
      <c r="B84" t="str">
        <f>_xlfn.XLOOKUP(A84,Planilha2!A:A,A:A,"")</f>
        <v/>
      </c>
    </row>
    <row r="85" spans="1:2" hidden="1" x14ac:dyDescent="0.3">
      <c r="A85" t="s">
        <v>111</v>
      </c>
      <c r="B85" t="str">
        <f>_xlfn.XLOOKUP(A85,Planilha2!A:A,A:A,"")</f>
        <v>GMP Compliance</v>
      </c>
    </row>
    <row r="86" spans="1:2" x14ac:dyDescent="0.3">
      <c r="A86" t="s">
        <v>210</v>
      </c>
      <c r="B86" t="str">
        <f>_xlfn.XLOOKUP(A86,Planilha2!A:A,A:A,"")</f>
        <v/>
      </c>
    </row>
    <row r="87" spans="1:2" hidden="1" x14ac:dyDescent="0.3">
      <c r="A87" t="s">
        <v>147</v>
      </c>
      <c r="B87" t="str">
        <f>_xlfn.XLOOKUP(A87,Planilha2!A:A,A:A,"")</f>
        <v>CRM Strategy</v>
      </c>
    </row>
    <row r="88" spans="1:2" x14ac:dyDescent="0.3">
      <c r="A88" t="s">
        <v>186</v>
      </c>
      <c r="B88" t="str">
        <f>_xlfn.XLOOKUP(A88,Planilha2!A:A,A:A,"")</f>
        <v/>
      </c>
    </row>
  </sheetData>
  <autoFilter ref="A1:B88" xr:uid="{92C0FDD6-7391-4839-9AD3-2B3059482D1F}">
    <filterColumn colId="1">
      <filters blank="1"/>
    </filterColumn>
  </autoFilter>
  <sortState xmlns:xlrd2="http://schemas.microsoft.com/office/spreadsheetml/2017/richdata2" ref="A2:A146">
    <sortCondition ref="A2:A146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66CD-429F-4DA7-A43F-D7A5138E8B5F}">
  <dimension ref="A1:A64"/>
  <sheetViews>
    <sheetView topLeftCell="A28" workbookViewId="0"/>
  </sheetViews>
  <sheetFormatPr defaultRowHeight="14.4" x14ac:dyDescent="0.3"/>
  <cols>
    <col min="1" max="1" width="23.33203125" bestFit="1" customWidth="1"/>
  </cols>
  <sheetData>
    <row r="1" spans="1:1" x14ac:dyDescent="0.3">
      <c r="A1" t="s">
        <v>261</v>
      </c>
    </row>
    <row r="2" spans="1:1" x14ac:dyDescent="0.3">
      <c r="A2" t="s">
        <v>208</v>
      </c>
    </row>
    <row r="3" spans="1:1" x14ac:dyDescent="0.3">
      <c r="A3" t="s">
        <v>174</v>
      </c>
    </row>
    <row r="4" spans="1:1" x14ac:dyDescent="0.3">
      <c r="A4" t="s">
        <v>260</v>
      </c>
    </row>
    <row r="5" spans="1:1" x14ac:dyDescent="0.3">
      <c r="A5" t="s">
        <v>259</v>
      </c>
    </row>
    <row r="6" spans="1:1" x14ac:dyDescent="0.3">
      <c r="A6" t="s">
        <v>180</v>
      </c>
    </row>
    <row r="7" spans="1:1" x14ac:dyDescent="0.3">
      <c r="A7" t="s">
        <v>193</v>
      </c>
    </row>
    <row r="8" spans="1:1" x14ac:dyDescent="0.3">
      <c r="A8" t="s">
        <v>209</v>
      </c>
    </row>
    <row r="9" spans="1:1" x14ac:dyDescent="0.3">
      <c r="A9" t="s">
        <v>197</v>
      </c>
    </row>
    <row r="10" spans="1:1" x14ac:dyDescent="0.3">
      <c r="A10" t="s">
        <v>190</v>
      </c>
    </row>
    <row r="11" spans="1:1" x14ac:dyDescent="0.3">
      <c r="A11" t="s">
        <v>194</v>
      </c>
    </row>
    <row r="12" spans="1:1" x14ac:dyDescent="0.3">
      <c r="A12" t="s">
        <v>201</v>
      </c>
    </row>
    <row r="13" spans="1:1" x14ac:dyDescent="0.3">
      <c r="A13" t="s">
        <v>252</v>
      </c>
    </row>
    <row r="14" spans="1:1" x14ac:dyDescent="0.3">
      <c r="A14" t="s">
        <v>249</v>
      </c>
    </row>
    <row r="15" spans="1:1" x14ac:dyDescent="0.3">
      <c r="A15" t="s">
        <v>179</v>
      </c>
    </row>
    <row r="16" spans="1:1" x14ac:dyDescent="0.3">
      <c r="A16" t="s">
        <v>187</v>
      </c>
    </row>
    <row r="17" spans="1:1" x14ac:dyDescent="0.3">
      <c r="A17" t="s">
        <v>177</v>
      </c>
    </row>
    <row r="18" spans="1:1" x14ac:dyDescent="0.3">
      <c r="A18" t="s">
        <v>204</v>
      </c>
    </row>
    <row r="19" spans="1:1" x14ac:dyDescent="0.3">
      <c r="A19" t="s">
        <v>258</v>
      </c>
    </row>
    <row r="20" spans="1:1" x14ac:dyDescent="0.3">
      <c r="A20" t="s">
        <v>256</v>
      </c>
    </row>
    <row r="21" spans="1:1" x14ac:dyDescent="0.3">
      <c r="A21" t="s">
        <v>245</v>
      </c>
    </row>
    <row r="22" spans="1:1" x14ac:dyDescent="0.3">
      <c r="A22" t="s">
        <v>183</v>
      </c>
    </row>
    <row r="23" spans="1:1" x14ac:dyDescent="0.3">
      <c r="A23" t="s">
        <v>196</v>
      </c>
    </row>
    <row r="24" spans="1:1" x14ac:dyDescent="0.3">
      <c r="A24" t="s">
        <v>176</v>
      </c>
    </row>
    <row r="25" spans="1:1" x14ac:dyDescent="0.3">
      <c r="A25" t="s">
        <v>191</v>
      </c>
    </row>
    <row r="26" spans="1:1" x14ac:dyDescent="0.3">
      <c r="A26" t="s">
        <v>170</v>
      </c>
    </row>
    <row r="27" spans="1:1" x14ac:dyDescent="0.3">
      <c r="A27" t="s">
        <v>184</v>
      </c>
    </row>
    <row r="28" spans="1:1" x14ac:dyDescent="0.3">
      <c r="A28" t="s">
        <v>200</v>
      </c>
    </row>
    <row r="29" spans="1:1" x14ac:dyDescent="0.3">
      <c r="A29" t="s">
        <v>257</v>
      </c>
    </row>
    <row r="30" spans="1:1" x14ac:dyDescent="0.3">
      <c r="A30" t="s">
        <v>185</v>
      </c>
    </row>
    <row r="31" spans="1:1" x14ac:dyDescent="0.3">
      <c r="A31" t="s">
        <v>169</v>
      </c>
    </row>
    <row r="32" spans="1:1" x14ac:dyDescent="0.3">
      <c r="A32" t="s">
        <v>255</v>
      </c>
    </row>
    <row r="33" spans="1:1" x14ac:dyDescent="0.3">
      <c r="A33" t="s">
        <v>248</v>
      </c>
    </row>
    <row r="34" spans="1:1" x14ac:dyDescent="0.3">
      <c r="A34" t="s">
        <v>166</v>
      </c>
    </row>
    <row r="35" spans="1:1" x14ac:dyDescent="0.3">
      <c r="A35" t="s">
        <v>202</v>
      </c>
    </row>
    <row r="36" spans="1:1" x14ac:dyDescent="0.3">
      <c r="A36" t="s">
        <v>205</v>
      </c>
    </row>
    <row r="37" spans="1:1" x14ac:dyDescent="0.3">
      <c r="A37" t="s">
        <v>182</v>
      </c>
    </row>
    <row r="38" spans="1:1" x14ac:dyDescent="0.3">
      <c r="A38" t="s">
        <v>90</v>
      </c>
    </row>
    <row r="39" spans="1:1" x14ac:dyDescent="0.3">
      <c r="A39" t="s">
        <v>250</v>
      </c>
    </row>
    <row r="40" spans="1:1" x14ac:dyDescent="0.3">
      <c r="A40" t="s">
        <v>251</v>
      </c>
    </row>
    <row r="41" spans="1:1" x14ac:dyDescent="0.3">
      <c r="A41" t="s">
        <v>207</v>
      </c>
    </row>
    <row r="42" spans="1:1" x14ac:dyDescent="0.3">
      <c r="A42" t="s">
        <v>246</v>
      </c>
    </row>
    <row r="43" spans="1:1" x14ac:dyDescent="0.3">
      <c r="A43" t="s">
        <v>165</v>
      </c>
    </row>
    <row r="44" spans="1:1" x14ac:dyDescent="0.3">
      <c r="A44" t="s">
        <v>173</v>
      </c>
    </row>
    <row r="45" spans="1:1" x14ac:dyDescent="0.3">
      <c r="A45" t="s">
        <v>168</v>
      </c>
    </row>
    <row r="46" spans="1:1" x14ac:dyDescent="0.3">
      <c r="A46" t="s">
        <v>175</v>
      </c>
    </row>
    <row r="47" spans="1:1" x14ac:dyDescent="0.3">
      <c r="A47" t="s">
        <v>178</v>
      </c>
    </row>
    <row r="48" spans="1:1" x14ac:dyDescent="0.3">
      <c r="A48" t="s">
        <v>167</v>
      </c>
    </row>
    <row r="49" spans="1:1" x14ac:dyDescent="0.3">
      <c r="A49" t="s">
        <v>172</v>
      </c>
    </row>
    <row r="50" spans="1:1" x14ac:dyDescent="0.3">
      <c r="A50" t="s">
        <v>203</v>
      </c>
    </row>
    <row r="51" spans="1:1" x14ac:dyDescent="0.3">
      <c r="A51" t="s">
        <v>195</v>
      </c>
    </row>
    <row r="52" spans="1:1" x14ac:dyDescent="0.3">
      <c r="A52" t="s">
        <v>199</v>
      </c>
    </row>
    <row r="53" spans="1:1" x14ac:dyDescent="0.3">
      <c r="A53" t="s">
        <v>254</v>
      </c>
    </row>
    <row r="54" spans="1:1" x14ac:dyDescent="0.3">
      <c r="A54" t="s">
        <v>198</v>
      </c>
    </row>
    <row r="55" spans="1:1" x14ac:dyDescent="0.3">
      <c r="A55" t="s">
        <v>206</v>
      </c>
    </row>
    <row r="56" spans="1:1" x14ac:dyDescent="0.3">
      <c r="A56" t="s">
        <v>247</v>
      </c>
    </row>
    <row r="57" spans="1:1" x14ac:dyDescent="0.3">
      <c r="A57" t="s">
        <v>171</v>
      </c>
    </row>
    <row r="58" spans="1:1" x14ac:dyDescent="0.3">
      <c r="A58" t="s">
        <v>189</v>
      </c>
    </row>
    <row r="59" spans="1:1" x14ac:dyDescent="0.3">
      <c r="A59" t="s">
        <v>192</v>
      </c>
    </row>
    <row r="60" spans="1:1" x14ac:dyDescent="0.3">
      <c r="A60" t="s">
        <v>253</v>
      </c>
    </row>
    <row r="61" spans="1:1" x14ac:dyDescent="0.3">
      <c r="A61" t="s">
        <v>188</v>
      </c>
    </row>
    <row r="62" spans="1:1" x14ac:dyDescent="0.3">
      <c r="A62" t="s">
        <v>181</v>
      </c>
    </row>
    <row r="63" spans="1:1" x14ac:dyDescent="0.3">
      <c r="A63" t="s">
        <v>210</v>
      </c>
    </row>
    <row r="64" spans="1:1" x14ac:dyDescent="0.3">
      <c r="A64" t="s">
        <v>186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Competências</vt:lpstr>
      <vt:lpstr>Planilha2</vt:lpstr>
      <vt:lpstr>Planilha1</vt:lpstr>
      <vt:lpstr>refin_2</vt:lpstr>
      <vt:lpstr>refin_1</vt:lpstr>
      <vt:lpstr>Planilha5</vt:lpstr>
      <vt:lpstr>refinamento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Armel Dias da Silva</cp:lastModifiedBy>
  <dcterms:created xsi:type="dcterms:W3CDTF">2026-03-19T22:22:26Z</dcterms:created>
  <dcterms:modified xsi:type="dcterms:W3CDTF">2026-03-22T18:13:56Z</dcterms:modified>
</cp:coreProperties>
</file>